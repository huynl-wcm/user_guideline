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tore × month" sheetId="2" state="visible" r:id="rId2"/>
    <sheet xmlns:r="http://schemas.openxmlformats.org/officeDocument/2006/relationships" name="Category × store type" sheetId="3" state="visible" r:id="rId3"/>
    <sheet xmlns:r="http://schemas.openxmlformats.org/officeDocument/2006/relationships" name="Chain × month" sheetId="4" state="visible" r:id="rId4"/>
  </sheets>
  <definedNames>
    <definedName name="_xlnm._FilterDatabase" localSheetId="1" hidden="1">'Store × month'!$A$3:$AP$45</definedName>
    <definedName name="_xlnm._FilterDatabase" localSheetId="2" hidden="1">'Category × store type'!$A$3:$M$63</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7">
    <font>
      <name val="Calibri"/>
      <family val="2"/>
      <color theme="1"/>
      <sz val="11"/>
      <scheme val="minor"/>
    </font>
    <font>
      <b val="1"/>
      <color rgb="000F172A"/>
      <sz val="14"/>
    </font>
    <font>
      <color rgb="0092400E"/>
    </font>
    <font>
      <b val="1"/>
      <color rgb="001D4ED8"/>
    </font>
    <font>
      <b val="1"/>
      <color rgb="00FFFFFF"/>
    </font>
    <font>
      <b val="1"/>
      <color rgb="0092400E"/>
    </font>
    <font>
      <color rgb="0064748B"/>
    </font>
  </fonts>
  <fills count="6">
    <fill>
      <patternFill/>
    </fill>
    <fill>
      <patternFill patternType="gray125"/>
    </fill>
    <fill>
      <patternFill patternType="solid">
        <fgColor rgb="00FEF3C7"/>
      </patternFill>
    </fill>
    <fill>
      <patternFill patternType="solid">
        <fgColor rgb="002563EB"/>
      </patternFill>
    </fill>
    <fill>
      <patternFill patternType="solid">
        <fgColor rgb="00F1F5F9"/>
      </patternFill>
    </fill>
    <fill>
      <patternFill patternType="solid">
        <fgColor rgb="00FFFBEB"/>
      </patternFill>
    </fill>
  </fills>
  <borders count="2">
    <border>
      <left/>
      <right/>
      <top/>
      <bottom/>
      <diagonal/>
    </border>
    <border>
      <bottom style="thin">
        <color rgb="00E2E8F0"/>
      </bottom>
    </border>
  </borders>
  <cellStyleXfs count="1">
    <xf numFmtId="0" fontId="0" fillId="0" borderId="0"/>
  </cellStyleXfs>
  <cellXfs count="23">
    <xf numFmtId="0" fontId="0" fillId="0" borderId="0" pivotButton="0" quotePrefix="0" xfId="0"/>
    <xf numFmtId="0" fontId="1" fillId="0" borderId="0" applyAlignment="1" pivotButton="0" quotePrefix="0" xfId="0">
      <alignment vertical="top" wrapText="1"/>
    </xf>
    <xf numFmtId="0" fontId="2" fillId="2"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4" fillId="3" borderId="0" pivotButton="0" quotePrefix="0" xfId="0"/>
    <xf numFmtId="0" fontId="5" fillId="2" borderId="0" pivotButton="0" quotePrefix="0" xfId="0"/>
    <xf numFmtId="0" fontId="0" fillId="2" borderId="0" pivotButton="0" quotePrefix="0" xfId="0"/>
    <xf numFmtId="0" fontId="4" fillId="3" borderId="0" applyAlignment="1" pivotButton="0" quotePrefix="0" xfId="0">
      <alignment horizontal="center" vertical="center" wrapText="1"/>
    </xf>
    <xf numFmtId="0" fontId="0" fillId="0" borderId="1" pivotButton="0" quotePrefix="0" xfId="0"/>
    <xf numFmtId="1" fontId="0" fillId="4" borderId="1" pivotButton="0" quotePrefix="0" xfId="0"/>
    <xf numFmtId="3" fontId="0" fillId="4" borderId="1" pivotButton="0" quotePrefix="0" xfId="0"/>
    <xf numFmtId="164" fontId="0" fillId="4" borderId="1" pivotButton="0" quotePrefix="0" xfId="0"/>
    <xf numFmtId="165" fontId="0" fillId="4" borderId="1" pivotButton="0" quotePrefix="0" xfId="0"/>
    <xf numFmtId="165" fontId="0" fillId="5" borderId="1" pivotButton="0" quotePrefix="0" xfId="0"/>
    <xf numFmtId="166" fontId="0" fillId="5" borderId="1" pivotButton="0" quotePrefix="0" xfId="0"/>
    <xf numFmtId="2" fontId="0" fillId="5" borderId="1" pivotButton="0" quotePrefix="0" xfId="0"/>
    <xf numFmtId="3" fontId="6" fillId="4" borderId="0" pivotButton="0" quotePrefix="0" xfId="0"/>
    <xf numFmtId="2" fontId="0" fillId="4" borderId="1" pivotButton="0" quotePrefix="0" xfId="0"/>
    <xf numFmtId="1" fontId="0" fillId="5" borderId="1" pivotButton="0" quotePrefix="0" xfId="0"/>
    <xf numFmtId="3" fontId="0" fillId="5" borderId="1" pivotButton="0" quotePrefix="0" xfId="0"/>
    <xf numFmtId="164" fontId="0" fillId="5" borderId="1" pivotButton="0" quotePrefix="0" xfId="0"/>
    <xf numFmtId="166" fontId="0" fillId="4" borderId="1" pivotButton="0" quotePrefix="0" xfId="0"/>
  </cellXfs>
  <cellStyles count="1">
    <cellStyle name="Normal" xfId="0" builtinId="0" hidden="0"/>
  </cellStyles>
  <dxfs count="1">
    <dxf>
      <font>
        <b val="1"/>
        <color rgb="00E03B3B"/>
      </font>
      <fill>
        <patternFill patternType="solid">
          <fgColor rgb="00FD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26" customWidth="1" min="1" max="1"/>
    <col width="70" customWidth="1" min="2" max="2"/>
    <col width="18" customWidth="1" min="3" max="3"/>
    <col width="18" customWidth="1" min="4" max="4"/>
  </cols>
  <sheetData>
    <row r="1" ht="15" customHeight="1">
      <c r="A1" s="1" t="inlineStr">
        <is>
          <t>File target CVS — mẫu v1</t>
        </is>
      </c>
    </row>
    <row r="2" ht="30" customHeight="1">
      <c r="A2" s="2" t="inlineStr">
        <is>
          <t>⚠️ Danh sách cửa hàng, mô hình và ngành trong file là danh sách mẫu (DEMO LIST). DA thay bằng danh sách thật trước khi xin số thật.</t>
        </is>
      </c>
    </row>
    <row r="3" ht="15" customHeight="1">
      <c r="A3" s="3" t="inlineStr">
        <is>
          <t>Ai điền sheet nào</t>
        </is>
      </c>
    </row>
    <row r="4" ht="45" customHeight="1">
      <c r="A4" s="4" t="inlineStr">
        <is>
          <t>•  Store × month — Finance (bắt buộc): Revenue, Bill Per Day, Margin after S&amp;L % và Operating days (plan) cho từng cửa hàng × tháng; DR và DIO ở dòng Chain (dòng Model nếu muốn đặt riêng cho mô hình).</t>
        </is>
      </c>
    </row>
    <row r="5" ht="15" customHeight="1">
      <c r="A5" s="4" t="inlineStr">
        <is>
          <t>•  Store × month — không bắt buộc: UPT (Category), Operating Day Rate (Vận hành).</t>
        </is>
      </c>
    </row>
    <row r="6" ht="30" customHeight="1">
      <c r="A6" s="4" t="inlineStr">
        <is>
          <t>•  Category × store type — Category: Sales Per Day của một cửa hàng theo mô hình × ngành MCH2 × tháng (bắt buộc); DIO theo ngành cho cả chuỗi (không bắt buộc).</t>
        </is>
      </c>
    </row>
    <row r="7" ht="15" customHeight="1">
      <c r="A7" s="4" t="inlineStr">
        <is>
          <t>•  Chain × month — Vận hành (không bắt buộc): Promo Compliance cho cả chuỗi.</t>
        </is>
      </c>
    </row>
    <row r="8" ht="15" customHeight="1">
      <c r="A8" s="4" t="inlineStr">
        <is>
          <t>•  Cột không bắt buộc để trống thì báo cáo vẫn hiện số, chỉ không tô màu.</t>
        </is>
      </c>
    </row>
    <row r="9" ht="15" customHeight="1">
      <c r="A9" s="3" t="inlineStr">
        <is>
          <t>4 mốc E / HE / O / O+</t>
        </is>
      </c>
    </row>
    <row r="10" ht="30" customHeight="1">
      <c r="A10" s="4" t="inlineStr">
        <is>
          <t>•  E = Expectation (mức kỳ vọng tối thiểu) · HE = High Expectation · O = Outstanding (mức kế hoạch, "plan") · O+ = Outstanding Plus.</t>
        </is>
      </c>
    </row>
    <row r="11" ht="15" customHeight="1">
      <c r="A11" s="4" t="inlineStr">
        <is>
          <t>•  Mỗi chỉ số điền đủ 4 mốc, từ thấp tới cao: E ≤ HE ≤ O ≤ O+.</t>
        </is>
      </c>
    </row>
    <row r="12" ht="15" customHeight="1">
      <c r="A12" s="4" t="inlineStr">
        <is>
          <t>•  DIO càng thấp càng tốt nên điền ngược lại: E ≥ HE ≥ O ≥ O+.</t>
        </is>
      </c>
    </row>
    <row r="13" ht="15" customHeight="1">
      <c r="A13" s="4" t="inlineStr">
        <is>
          <t>•  Màu trên báo cáo: tới E là đỏ, tới HE cam, tới O xanh lá, tới O+ xanh lam, vượt O+ tím.</t>
        </is>
      </c>
    </row>
    <row r="14" ht="15" customHeight="1">
      <c r="A14" s="4" t="inlineStr">
        <is>
          <t>•  Chạm đúng một mốc thì tính vào dải dưới. Ví dụ đúng bằng O là xanh lá, chưa sang xanh lam.</t>
        </is>
      </c>
    </row>
    <row r="15" ht="15" customHeight="1">
      <c r="A15" s="4" t="inlineStr">
        <is>
          <t>•  "vs plan" trên báo cáo là so với mốc O.</t>
        </is>
      </c>
    </row>
    <row r="16" ht="15" customHeight="1">
      <c r="A16" s="3" t="inlineStr">
        <is>
          <t>Chỉ số không vượt được 100%</t>
        </is>
      </c>
    </row>
    <row r="17" ht="30" customHeight="1">
      <c r="A17" s="4" t="inlineStr">
        <is>
          <t>•  Operating Day Rate, DR, Promo Compliance: đặt O+ = 100% và O dưới 100% (ví dụ Operating Day Rate O = 98%, DR O = 93%).</t>
        </is>
      </c>
    </row>
    <row r="18" ht="30" customHeight="1">
      <c r="A18" s="4" t="inlineStr">
        <is>
          <t>•  Như vậy màu tím chỉ dành cho cửa hàng đạt trọn 100%. Đặt O = 100% thì mọi cửa hàng đủ ngày đều tím.</t>
        </is>
      </c>
    </row>
    <row r="19" ht="15" customHeight="1">
      <c r="A19" s="3" t="inlineStr">
        <is>
          <t>Cột tự tính — không điền</t>
        </is>
      </c>
    </row>
    <row r="20" ht="30" customHeight="1">
      <c r="A20" s="4" t="inlineStr">
        <is>
          <t>•  Sales Per Day và Bill Size ở sheet Store × month là cột xám, file tự tính từ Revenue, Bill Per Day và Operating days (plan).</t>
        </is>
      </c>
    </row>
    <row r="21" ht="30" customHeight="1">
      <c r="A21" s="4" t="inlineStr">
        <is>
          <t>•  Sales Per Day = Revenue ÷ Operating days (plan). Bill Size mốc O = Revenue O ÷ (Operating days (plan) × Bill Per Day O); các mốc khác giữ cùng tỷ lệ với mốc của Revenue.</t>
        </is>
      </c>
    </row>
    <row r="22" ht="15" customHeight="1">
      <c r="A22" s="3" t="inlineStr">
        <is>
          <t>Dòng Chain, Model, Store</t>
        </is>
      </c>
    </row>
    <row r="23" ht="15" customHeight="1">
      <c r="A23" s="4" t="inlineStr">
        <is>
          <t>•  Ô vàng nhạt là ô cần điền ở dòng đó; ô xám là không dùng.</t>
        </is>
      </c>
    </row>
    <row r="24" ht="30" customHeight="1">
      <c r="A24" s="4" t="inlineStr">
        <is>
          <t>•  DR / DIO: dòng Chain áp cho mọi cửa hàng; dòng Model (nếu điền) thay dòng Chain cho mô hình đó.</t>
        </is>
      </c>
    </row>
    <row r="25" ht="30" customHeight="1">
      <c r="A25" s="4" t="inlineStr">
        <is>
          <t>•  Operating Day Rate / UPT: dòng Chain là mức chung cho mọi cửa hàng; cửa hàng nào điền số riêng thì dùng số riêng.</t>
        </is>
      </c>
    </row>
    <row r="26" ht="30" customHeight="1">
      <c r="A26" s="4" t="inlineStr">
        <is>
          <t>•  Operating days (plan) đã điền sẵn đủ số ngày của tháng (mở 24/7; tháng khai trương tính từ ngày mở). Sửa nếu cửa hàng dự kiến đóng cửa ngày nào.</t>
        </is>
      </c>
    </row>
    <row r="27" ht="15" customHeight="1">
      <c r="A27" s="3" t="inlineStr">
        <is>
          <t>Mục tiêu ngành theo loại cửa hàng</t>
        </is>
      </c>
    </row>
    <row r="28" ht="30" customHeight="1">
      <c r="A28" s="4" t="inlineStr">
        <is>
          <t>•  Điền Sales Per Day của một cửa hàng trong ngành đó. Mọi cửa hàng cùng mô hình nhận cùng mức; cửa hàng mở thêm tự có mục tiêu.</t>
        </is>
      </c>
    </row>
    <row r="29" ht="30" customHeight="1">
      <c r="A29" s="4" t="inlineStr">
        <is>
          <t>•  Cộng các ngành theo mô hình nên khớp Revenue của các cửa hàng ở sheet Store × month. Lệch quá 1% thì DA báo lại; DA không tự sửa số của anh/chị.</t>
        </is>
      </c>
    </row>
    <row r="30" ht="15" customHeight="1">
      <c r="A30" s="3" t="inlineStr">
        <is>
          <t>Cách nhập</t>
        </is>
      </c>
    </row>
    <row r="31" ht="15" customHeight="1">
      <c r="A31" s="4" t="inlineStr">
        <is>
          <t>•  Tiền ghi đủ đồng (không rút gọn nghìn / triệu). Tỷ lệ gõ kèm dấu %, ví dụ 93%.</t>
        </is>
      </c>
    </row>
    <row r="32" ht="30" customHeight="1">
      <c r="A32" s="4" t="inlineStr">
        <is>
          <t>•  Ô tô đỏ: thiếu mốc, sai thứ tự, số âm, tỷ lệ trên 100%, hoặc điền vào ô xám. File vẫn lưu được; DA sẽ báo lại ô sai.</t>
        </is>
      </c>
    </row>
    <row r="33" ht="15" customHeight="1">
      <c r="A33" s="3" t="inlineStr">
        <is>
          <t>Điều chỉnh kế hoạch</t>
        </is>
      </c>
    </row>
    <row r="34" ht="15" customHeight="1">
      <c r="A34" s="4" t="inlineStr">
        <is>
          <t>•  Điều chỉnh giữa kỳ thì gửi lại cả file như một bản mới. Báo cáo luôn dùng bản mới nhất.</t>
        </is>
      </c>
    </row>
    <row r="35" ht="15" customHeight="1">
      <c r="A35" s="4" t="inlineStr">
        <is>
          <t>•  ⚠️ Tháng chưa có file target: báo cáo vẫn gửi nhưng ô không có màu.</t>
        </is>
      </c>
    </row>
    <row r="36" ht="15" customHeight="1">
      <c r="A36" s="3" t="inlineStr">
        <is>
          <t>Các chỉ số trong file</t>
        </is>
      </c>
    </row>
    <row r="37">
      <c r="A37" s="5" t="inlineStr">
        <is>
          <t>Tên trên báo cáo</t>
        </is>
      </c>
      <c r="B37" s="5" t="inlineStr">
        <is>
          <t>Nghĩa</t>
        </is>
      </c>
      <c r="C37" s="5" t="inlineStr">
        <is>
          <t>Đơn vị</t>
        </is>
      </c>
      <c r="D37" s="5" t="inlineStr">
        <is>
          <t>Chiều tốt</t>
        </is>
      </c>
    </row>
    <row r="38">
      <c r="A38" s="4" t="inlineStr">
        <is>
          <t>Revenue</t>
        </is>
      </c>
      <c r="B38" s="4" t="inlineStr">
        <is>
          <t>Tổng doanh thu mọi store CVS trong kỳ, kèm số store hoạt động. Dòng bối cảnh, không drill — với ít store, số này chủ yếu phản ánh bao nhiêu store đang mở.</t>
        </is>
      </c>
      <c r="C38" s="4" t="inlineStr">
        <is>
          <t>đ</t>
        </is>
      </c>
      <c r="D38" s="4" t="inlineStr">
        <is>
          <t>Càng cao càng tốt</t>
        </is>
      </c>
    </row>
    <row r="39">
      <c r="A39" s="4" t="inlineStr">
        <is>
          <t>Bill Per Day</t>
        </is>
      </c>
      <c r="B39" s="4" t="inlineStr">
        <is>
          <t>Số bill mua hàng bình quân một store trong một ngày hoạt động — thước đo traffic (không có đếm người vào cửa, nên bill là lượt khách).</t>
        </is>
      </c>
      <c r="C39" s="4" t="inlineStr">
        <is>
          <t>bill</t>
        </is>
      </c>
      <c r="D39" s="4" t="inlineStr">
        <is>
          <t>Càng cao càng tốt</t>
        </is>
      </c>
    </row>
    <row r="40">
      <c r="A40" s="4" t="inlineStr">
        <is>
          <t>Margin after S&amp;L %</t>
        </is>
      </c>
      <c r="B40" s="4" t="inlineStr">
        <is>
          <t>Front margin còn lại sau khi trừ S&amp;L loại SHRINKAGE và LOSS, tính trên doanh thu. Là số chuỗi convenience tối ưu thật (lãi gộp sau hủy hàng), không phải doanh thu. KHÔNG phải Gross Profit của P&amp;L.</t>
        </is>
      </c>
      <c r="C40" s="4" t="inlineStr">
        <is>
          <t>%</t>
        </is>
      </c>
      <c r="D40" s="4" t="inlineStr">
        <is>
          <t>Càng cao càng tốt</t>
        </is>
      </c>
    </row>
    <row r="41">
      <c r="A41" s="4" t="inlineStr">
        <is>
          <t>DR</t>
        </is>
      </c>
      <c r="B41" s="4" t="inlineStr">
        <is>
          <t>Phần trăm SKU đạt DR trong các SKU được tính DR — đúng chỉ số DR chuỗi đang theo dõi. SKU nào được tính và thế nào là đạt do team cung ứng (SCCT) quy định.</t>
        </is>
      </c>
      <c r="C41" s="4" t="inlineStr">
        <is>
          <t>%</t>
        </is>
      </c>
      <c r="D41" s="4" t="inlineStr">
        <is>
          <t>Càng cao càng tốt</t>
        </is>
      </c>
    </row>
    <row r="42">
      <c r="A42" s="4" t="inlineStr">
        <is>
          <t>DIO</t>
        </is>
      </c>
      <c r="B42" s="4" t="inlineStr">
        <is>
          <t>Giá trị tồn của hàng Core 1–3 đủ bán bao nhiêu ngày theo giá vốn bình quân 30 ngày gần nhất — đúng công thức DIO chuỗi đang dùng. Cao = tồn thừa, chôn vốn; thấp = nguy cơ hết.</t>
        </is>
      </c>
      <c r="C42" s="4" t="inlineStr">
        <is>
          <t>ngày</t>
        </is>
      </c>
      <c r="D42" s="4" t="inlineStr">
        <is>
          <t>Càng thấp càng tốt</t>
        </is>
      </c>
    </row>
    <row r="43">
      <c r="A43" s="4" t="inlineStr">
        <is>
          <t>UPT</t>
        </is>
      </c>
      <c r="B43" s="4" t="inlineStr">
        <is>
          <t>Bình quân một bill có bao nhiêu món. Tăng UPT là mục tiêu của combo, bố trí kệ mua kèm.</t>
        </is>
      </c>
      <c r="C43" s="4" t="inlineStr">
        <is>
          <t>món</t>
        </is>
      </c>
      <c r="D43" s="4" t="inlineStr">
        <is>
          <t>Càng cao càng tốt</t>
        </is>
      </c>
    </row>
    <row r="44">
      <c r="A44" s="4" t="inlineStr">
        <is>
          <t>Operating Day Rate</t>
        </is>
      </c>
      <c r="B44" s="4" t="inlineStr">
        <is>
          <t>Phần trăm ngày lịch (kể từ ngày khai trương) mà store có phát sinh bán. CVS 24/7 kỳ vọng 100%; thấp hơn là cờ, mở danh sách store-ngày thiếu.</t>
        </is>
      </c>
      <c r="C44" s="4" t="inlineStr">
        <is>
          <t>%</t>
        </is>
      </c>
      <c r="D44" s="4" t="inlineStr">
        <is>
          <t>Càng gần mốc càng tốt</t>
        </is>
      </c>
    </row>
    <row r="45">
      <c r="A45" s="4" t="inlineStr">
        <is>
          <t>Sales Per Day</t>
        </is>
      </c>
      <c r="B45" s="4" t="inlineStr">
        <is>
          <t>Doanh thu bình quân một store làm được trong một ngày hoạt động. Con số đầu tiên đọc mỗi sáng; không phụ thuộc chuỗi đang mở bao nhiêu store.</t>
        </is>
      </c>
      <c r="C45" s="4" t="inlineStr">
        <is>
          <t>đ</t>
        </is>
      </c>
      <c r="D45" s="4" t="inlineStr">
        <is>
          <t>Càng cao càng tốt</t>
        </is>
      </c>
    </row>
    <row r="46">
      <c r="A46" s="4" t="inlineStr">
        <is>
          <t>Bill Size</t>
        </is>
      </c>
      <c r="B46" s="4" t="inlineStr">
        <is>
          <t>Doanh thu bình quân của một bill — thước đo độ lớn giỏ hàng.</t>
        </is>
      </c>
      <c r="C46" s="4" t="inlineStr">
        <is>
          <t>đ</t>
        </is>
      </c>
      <c r="D46" s="4" t="inlineStr">
        <is>
          <t>Càng cao càng tốt</t>
        </is>
      </c>
    </row>
    <row r="47">
      <c r="A47" s="4" t="inlineStr">
        <is>
          <t>Promo Compliance</t>
        </is>
      </c>
      <c r="B47" s="4" t="inlineStr">
        <is>
          <t>Chương trình có chạy đúng tại store không, tách 2 lỗi: (a) Tuân thủ giá — cặp store × SKU trong kế hoạch có bán mà không áp giá KM; (b) Có hàng KM — cặp trong kế hoạch KHÔNG bán và hết tồn, tức hàng KM không về tới store (lỗi phổ biến nhất của CT).</t>
        </is>
      </c>
      <c r="C47" s="4" t="inlineStr">
        <is>
          <t>%</t>
        </is>
      </c>
      <c r="D47" s="4" t="inlineStr">
        <is>
          <t>Càng cao càng tốt</t>
        </is>
      </c>
    </row>
  </sheetData>
  <mergeCells count="36">
    <mergeCell ref="A5:D5"/>
    <mergeCell ref="A17:D17"/>
    <mergeCell ref="A23:D23"/>
    <mergeCell ref="A8:D8"/>
    <mergeCell ref="A22:D22"/>
    <mergeCell ref="A35:D35"/>
    <mergeCell ref="A4:D4"/>
    <mergeCell ref="A20:D20"/>
    <mergeCell ref="A29:D29"/>
    <mergeCell ref="A19:D19"/>
    <mergeCell ref="A10:D10"/>
    <mergeCell ref="A28:D28"/>
    <mergeCell ref="A13:D13"/>
    <mergeCell ref="A9:D9"/>
    <mergeCell ref="A31:D31"/>
    <mergeCell ref="A34:D34"/>
    <mergeCell ref="A30:D30"/>
    <mergeCell ref="A15:D15"/>
    <mergeCell ref="A24:D24"/>
    <mergeCell ref="A11:D11"/>
    <mergeCell ref="A36:D36"/>
    <mergeCell ref="A1:D1"/>
    <mergeCell ref="A6:D6"/>
    <mergeCell ref="A7:D7"/>
    <mergeCell ref="A25:D25"/>
    <mergeCell ref="A16:D16"/>
    <mergeCell ref="A18:D18"/>
    <mergeCell ref="A27:D27"/>
    <mergeCell ref="A12:D12"/>
    <mergeCell ref="A3:D3"/>
    <mergeCell ref="A21:D21"/>
    <mergeCell ref="A26:D26"/>
    <mergeCell ref="A2:D2"/>
    <mergeCell ref="A33:D33"/>
    <mergeCell ref="A32:D32"/>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45"/>
  <sheetViews>
    <sheetView workbookViewId="0">
      <pane xSplit="6" ySplit="3" topLeftCell="G4"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1" customWidth="1" min="3" max="3"/>
    <col width="9" customWidth="1" min="4" max="4"/>
    <col width="9" customWidth="1" min="5" max="5"/>
    <col width="12"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s>
  <sheetData>
    <row r="1">
      <c r="A1" s="6" t="inlineStr">
        <is>
          <t>DEMO LIST — store / model / MCH2 lists are sample data; DA replaces them with the real lists before collecting targets. Instructions: sheet 'Read me'.</t>
        </is>
      </c>
      <c r="B1" s="7" t="n"/>
      <c r="C1" s="7" t="n"/>
      <c r="D1" s="7" t="n"/>
      <c r="E1" s="7" t="n"/>
      <c r="F1" s="7" t="n"/>
      <c r="G1" s="7" t="n"/>
      <c r="H1" s="7" t="n"/>
      <c r="I1" s="7" t="n"/>
      <c r="J1" s="7" t="n"/>
      <c r="K1" s="7" t="n"/>
      <c r="L1" s="7" t="n"/>
      <c r="M1" s="7" t="n"/>
      <c r="N1" s="7" t="n"/>
      <c r="O1" s="7" t="n"/>
      <c r="P1" s="7" t="n"/>
      <c r="Q1" s="7" t="n"/>
      <c r="R1" s="7" t="n"/>
      <c r="S1" s="7" t="n"/>
      <c r="T1" s="7" t="n"/>
      <c r="U1" s="7" t="n"/>
      <c r="V1" s="7" t="n"/>
      <c r="W1" s="7" t="n"/>
      <c r="X1" s="7" t="n"/>
      <c r="Y1" s="7" t="n"/>
      <c r="Z1" s="7" t="n"/>
      <c r="AA1" s="7" t="n"/>
      <c r="AB1" s="7" t="n"/>
      <c r="AC1" s="7" t="n"/>
      <c r="AD1" s="7" t="n"/>
      <c r="AE1" s="7" t="n"/>
      <c r="AF1" s="7" t="n"/>
      <c r="AG1" s="7" t="n"/>
      <c r="AH1" s="7" t="n"/>
      <c r="AI1" s="7" t="n"/>
      <c r="AJ1" s="7" t="n"/>
      <c r="AK1" s="7" t="n"/>
      <c r="AL1" s="7" t="n"/>
      <c r="AM1" s="7" t="n"/>
      <c r="AN1" s="7" t="n"/>
      <c r="AO1" s="7" t="n"/>
      <c r="AP1" s="7" t="n"/>
    </row>
    <row r="2" ht="34" customHeight="1">
      <c r="A2" s="8" t="inlineStr">
        <is>
          <t>Month</t>
        </is>
      </c>
      <c r="B2" s="8" t="inlineStr">
        <is>
          <t>Row type</t>
        </is>
      </c>
      <c r="C2" s="8" t="inlineStr">
        <is>
          <t>Model</t>
        </is>
      </c>
      <c r="D2" s="8" t="inlineStr">
        <is>
          <t>Region</t>
        </is>
      </c>
      <c r="E2" s="8" t="inlineStr">
        <is>
          <t>Store</t>
        </is>
      </c>
      <c r="F2" s="8" t="inlineStr">
        <is>
          <t>Operating days (plan)</t>
        </is>
      </c>
      <c r="G2" s="8" t="inlineStr">
        <is>
          <t>Revenue (VND / month) — required</t>
        </is>
      </c>
      <c r="H2" s="8" t="n"/>
      <c r="I2" s="8" t="n"/>
      <c r="J2" s="8" t="n"/>
      <c r="K2" s="8" t="inlineStr">
        <is>
          <t>Bill Per Day (bills / store / day) — required</t>
        </is>
      </c>
      <c r="L2" s="8" t="n"/>
      <c r="M2" s="8" t="n"/>
      <c r="N2" s="8" t="n"/>
      <c r="O2" s="8" t="inlineStr">
        <is>
          <t>Margin after S&amp;L % (%) — required</t>
        </is>
      </c>
      <c r="P2" s="8" t="n"/>
      <c r="Q2" s="8" t="n"/>
      <c r="R2" s="8" t="n"/>
      <c r="S2" s="8" t="inlineStr">
        <is>
          <t>DR (%) — required on Chain row</t>
        </is>
      </c>
      <c r="T2" s="8" t="n"/>
      <c r="U2" s="8" t="n"/>
      <c r="V2" s="8" t="n"/>
      <c r="W2" s="8" t="inlineStr">
        <is>
          <t>DIO (days) — required on Chain row</t>
        </is>
      </c>
      <c r="X2" s="8" t="n"/>
      <c r="Y2" s="8" t="n"/>
      <c r="Z2" s="8" t="n"/>
      <c r="AA2" s="8" t="inlineStr">
        <is>
          <t>UPT (items / bill) — optional</t>
        </is>
      </c>
      <c r="AB2" s="8" t="n"/>
      <c r="AC2" s="8" t="n"/>
      <c r="AD2" s="8" t="n"/>
      <c r="AE2" s="8" t="inlineStr">
        <is>
          <t>Operating Day Rate (%) — optional</t>
        </is>
      </c>
      <c r="AF2" s="8" t="n"/>
      <c r="AG2" s="8" t="n"/>
      <c r="AH2" s="8" t="n"/>
      <c r="AI2" s="8" t="inlineStr">
        <is>
          <t>Sales Per Day (VND / store / day) — auto — do not fill</t>
        </is>
      </c>
      <c r="AJ2" s="8" t="n"/>
      <c r="AK2" s="8" t="n"/>
      <c r="AL2" s="8" t="n"/>
      <c r="AM2" s="8" t="inlineStr">
        <is>
          <t>Bill Size (VND / bill) — auto — do not fill</t>
        </is>
      </c>
      <c r="AN2" s="8" t="n"/>
      <c r="AO2" s="8" t="n"/>
      <c r="AP2" s="8" t="n"/>
    </row>
    <row r="3">
      <c r="A3" s="8" t="n"/>
      <c r="B3" s="8" t="n"/>
      <c r="C3" s="8" t="n"/>
      <c r="D3" s="8" t="n"/>
      <c r="E3" s="8" t="n"/>
      <c r="F3" s="8" t="n"/>
      <c r="G3" s="8" t="inlineStr">
        <is>
          <t>E</t>
        </is>
      </c>
      <c r="H3" s="8" t="inlineStr">
        <is>
          <t>HE</t>
        </is>
      </c>
      <c r="I3" s="8" t="inlineStr">
        <is>
          <t>O</t>
        </is>
      </c>
      <c r="J3" s="8" t="inlineStr">
        <is>
          <t>O+</t>
        </is>
      </c>
      <c r="K3" s="8" t="inlineStr">
        <is>
          <t>E</t>
        </is>
      </c>
      <c r="L3" s="8" t="inlineStr">
        <is>
          <t>HE</t>
        </is>
      </c>
      <c r="M3" s="8" t="inlineStr">
        <is>
          <t>O</t>
        </is>
      </c>
      <c r="N3" s="8" t="inlineStr">
        <is>
          <t>O+</t>
        </is>
      </c>
      <c r="O3" s="8" t="inlineStr">
        <is>
          <t>E</t>
        </is>
      </c>
      <c r="P3" s="8" t="inlineStr">
        <is>
          <t>HE</t>
        </is>
      </c>
      <c r="Q3" s="8" t="inlineStr">
        <is>
          <t>O</t>
        </is>
      </c>
      <c r="R3" s="8" t="inlineStr">
        <is>
          <t>O+</t>
        </is>
      </c>
      <c r="S3" s="8" t="inlineStr">
        <is>
          <t>E</t>
        </is>
      </c>
      <c r="T3" s="8" t="inlineStr">
        <is>
          <t>HE</t>
        </is>
      </c>
      <c r="U3" s="8" t="inlineStr">
        <is>
          <t>O</t>
        </is>
      </c>
      <c r="V3" s="8" t="inlineStr">
        <is>
          <t>O+</t>
        </is>
      </c>
      <c r="W3" s="8" t="inlineStr">
        <is>
          <t>E</t>
        </is>
      </c>
      <c r="X3" s="8" t="inlineStr">
        <is>
          <t>HE</t>
        </is>
      </c>
      <c r="Y3" s="8" t="inlineStr">
        <is>
          <t>O</t>
        </is>
      </c>
      <c r="Z3" s="8" t="inlineStr">
        <is>
          <t>O+</t>
        </is>
      </c>
      <c r="AA3" s="8" t="inlineStr">
        <is>
          <t>E</t>
        </is>
      </c>
      <c r="AB3" s="8" t="inlineStr">
        <is>
          <t>HE</t>
        </is>
      </c>
      <c r="AC3" s="8" t="inlineStr">
        <is>
          <t>O</t>
        </is>
      </c>
      <c r="AD3" s="8" t="inlineStr">
        <is>
          <t>O+</t>
        </is>
      </c>
      <c r="AE3" s="8" t="inlineStr">
        <is>
          <t>E</t>
        </is>
      </c>
      <c r="AF3" s="8" t="inlineStr">
        <is>
          <t>HE</t>
        </is>
      </c>
      <c r="AG3" s="8" t="inlineStr">
        <is>
          <t>O</t>
        </is>
      </c>
      <c r="AH3" s="8" t="inlineStr">
        <is>
          <t>O+</t>
        </is>
      </c>
      <c r="AI3" s="8" t="inlineStr">
        <is>
          <t>E</t>
        </is>
      </c>
      <c r="AJ3" s="8" t="inlineStr">
        <is>
          <t>HE</t>
        </is>
      </c>
      <c r="AK3" s="8" t="inlineStr">
        <is>
          <t>O</t>
        </is>
      </c>
      <c r="AL3" s="8" t="inlineStr">
        <is>
          <t>O+</t>
        </is>
      </c>
      <c r="AM3" s="8" t="inlineStr">
        <is>
          <t>E</t>
        </is>
      </c>
      <c r="AN3" s="8" t="inlineStr">
        <is>
          <t>HE</t>
        </is>
      </c>
      <c r="AO3" s="8" t="inlineStr">
        <is>
          <t>O</t>
        </is>
      </c>
      <c r="AP3" s="8" t="inlineStr">
        <is>
          <t>O+</t>
        </is>
      </c>
    </row>
    <row r="4">
      <c r="A4" s="9" t="inlineStr">
        <is>
          <t>2026-10</t>
        </is>
      </c>
      <c r="B4" s="9" t="inlineStr">
        <is>
          <t>Chain</t>
        </is>
      </c>
      <c r="C4" s="9" t="inlineStr"/>
      <c r="D4" s="9" t="inlineStr"/>
      <c r="E4" s="9" t="inlineStr"/>
      <c r="F4" s="10" t="n"/>
      <c r="G4" s="11" t="n"/>
      <c r="H4" s="11" t="n"/>
      <c r="I4" s="11" t="n"/>
      <c r="J4" s="11" t="n"/>
      <c r="K4" s="12" t="n"/>
      <c r="L4" s="12" t="n"/>
      <c r="M4" s="12" t="n"/>
      <c r="N4" s="12" t="n"/>
      <c r="O4" s="13" t="n"/>
      <c r="P4" s="13" t="n"/>
      <c r="Q4" s="13" t="n"/>
      <c r="R4" s="13" t="n"/>
      <c r="S4" s="14" t="n"/>
      <c r="T4" s="14" t="n"/>
      <c r="U4" s="14" t="n"/>
      <c r="V4" s="14" t="n"/>
      <c r="W4" s="15" t="n"/>
      <c r="X4" s="15" t="n"/>
      <c r="Y4" s="15" t="n"/>
      <c r="Z4" s="15" t="n"/>
      <c r="AA4" s="16" t="n"/>
      <c r="AB4" s="16" t="n"/>
      <c r="AC4" s="16" t="n"/>
      <c r="AD4" s="16" t="n"/>
      <c r="AE4" s="14" t="n"/>
      <c r="AF4" s="14" t="n"/>
      <c r="AG4" s="14" t="n"/>
      <c r="AH4" s="14" t="n"/>
      <c r="AI4" s="17" t="n"/>
      <c r="AJ4" s="17" t="n"/>
      <c r="AK4" s="17" t="n"/>
      <c r="AL4" s="17" t="n"/>
      <c r="AM4" s="17" t="n"/>
      <c r="AN4" s="17" t="n"/>
      <c r="AO4" s="17" t="n"/>
      <c r="AP4" s="17" t="n"/>
    </row>
    <row r="5">
      <c r="A5" s="9" t="inlineStr">
        <is>
          <t>2026-10</t>
        </is>
      </c>
      <c r="B5" s="9" t="inlineStr">
        <is>
          <t>Model</t>
        </is>
      </c>
      <c r="C5" s="9" t="inlineStr">
        <is>
          <t>Flagship</t>
        </is>
      </c>
      <c r="D5" s="9" t="inlineStr"/>
      <c r="E5" s="9" t="inlineStr"/>
      <c r="F5" s="10" t="n"/>
      <c r="G5" s="11" t="n"/>
      <c r="H5" s="11" t="n"/>
      <c r="I5" s="11" t="n"/>
      <c r="J5" s="11" t="n"/>
      <c r="K5" s="12" t="n"/>
      <c r="L5" s="12" t="n"/>
      <c r="M5" s="12" t="n"/>
      <c r="N5" s="12" t="n"/>
      <c r="O5" s="13" t="n"/>
      <c r="P5" s="13" t="n"/>
      <c r="Q5" s="13" t="n"/>
      <c r="R5" s="13" t="n"/>
      <c r="S5" s="14" t="n"/>
      <c r="T5" s="14" t="n"/>
      <c r="U5" s="14" t="n"/>
      <c r="V5" s="14" t="n"/>
      <c r="W5" s="15" t="n"/>
      <c r="X5" s="15" t="n"/>
      <c r="Y5" s="15" t="n"/>
      <c r="Z5" s="15" t="n"/>
      <c r="AA5" s="18" t="n"/>
      <c r="AB5" s="18" t="n"/>
      <c r="AC5" s="18" t="n"/>
      <c r="AD5" s="18" t="n"/>
      <c r="AE5" s="13" t="n"/>
      <c r="AF5" s="13" t="n"/>
      <c r="AG5" s="13" t="n"/>
      <c r="AH5" s="13" t="n"/>
      <c r="AI5" s="17" t="n"/>
      <c r="AJ5" s="17" t="n"/>
      <c r="AK5" s="17" t="n"/>
      <c r="AL5" s="17" t="n"/>
      <c r="AM5" s="17" t="n"/>
      <c r="AN5" s="17" t="n"/>
      <c r="AO5" s="17" t="n"/>
      <c r="AP5" s="17" t="n"/>
    </row>
    <row r="6">
      <c r="A6" s="9" t="inlineStr">
        <is>
          <t>2026-10</t>
        </is>
      </c>
      <c r="B6" s="9" t="inlineStr">
        <is>
          <t>Model</t>
        </is>
      </c>
      <c r="C6" s="9" t="inlineStr">
        <is>
          <t>Standard</t>
        </is>
      </c>
      <c r="D6" s="9" t="inlineStr"/>
      <c r="E6" s="9" t="inlineStr"/>
      <c r="F6" s="10" t="n"/>
      <c r="G6" s="11" t="n"/>
      <c r="H6" s="11" t="n"/>
      <c r="I6" s="11" t="n"/>
      <c r="J6" s="11" t="n"/>
      <c r="K6" s="12" t="n"/>
      <c r="L6" s="12" t="n"/>
      <c r="M6" s="12" t="n"/>
      <c r="N6" s="12" t="n"/>
      <c r="O6" s="13" t="n"/>
      <c r="P6" s="13" t="n"/>
      <c r="Q6" s="13" t="n"/>
      <c r="R6" s="13" t="n"/>
      <c r="S6" s="14" t="n"/>
      <c r="T6" s="14" t="n"/>
      <c r="U6" s="14" t="n"/>
      <c r="V6" s="14" t="n"/>
      <c r="W6" s="15" t="n"/>
      <c r="X6" s="15" t="n"/>
      <c r="Y6" s="15" t="n"/>
      <c r="Z6" s="15" t="n"/>
      <c r="AA6" s="18" t="n"/>
      <c r="AB6" s="18" t="n"/>
      <c r="AC6" s="18" t="n"/>
      <c r="AD6" s="18" t="n"/>
      <c r="AE6" s="13" t="n"/>
      <c r="AF6" s="13" t="n"/>
      <c r="AG6" s="13" t="n"/>
      <c r="AH6" s="13" t="n"/>
      <c r="AI6" s="17" t="n"/>
      <c r="AJ6" s="17" t="n"/>
      <c r="AK6" s="17" t="n"/>
      <c r="AL6" s="17" t="n"/>
      <c r="AM6" s="17" t="n"/>
      <c r="AN6" s="17" t="n"/>
      <c r="AO6" s="17" t="n"/>
      <c r="AP6" s="17" t="n"/>
    </row>
    <row r="7">
      <c r="A7" s="9" t="inlineStr">
        <is>
          <t>2026-10</t>
        </is>
      </c>
      <c r="B7" s="9" t="inlineStr">
        <is>
          <t>Model</t>
        </is>
      </c>
      <c r="C7" s="9" t="inlineStr">
        <is>
          <t>Mini</t>
        </is>
      </c>
      <c r="D7" s="9" t="inlineStr"/>
      <c r="E7" s="9" t="inlineStr"/>
      <c r="F7" s="10" t="n"/>
      <c r="G7" s="11" t="n"/>
      <c r="H7" s="11" t="n"/>
      <c r="I7" s="11" t="n"/>
      <c r="J7" s="11" t="n"/>
      <c r="K7" s="12" t="n"/>
      <c r="L7" s="12" t="n"/>
      <c r="M7" s="12" t="n"/>
      <c r="N7" s="12" t="n"/>
      <c r="O7" s="13" t="n"/>
      <c r="P7" s="13" t="n"/>
      <c r="Q7" s="13" t="n"/>
      <c r="R7" s="13" t="n"/>
      <c r="S7" s="14" t="n"/>
      <c r="T7" s="14" t="n"/>
      <c r="U7" s="14" t="n"/>
      <c r="V7" s="14" t="n"/>
      <c r="W7" s="15" t="n"/>
      <c r="X7" s="15" t="n"/>
      <c r="Y7" s="15" t="n"/>
      <c r="Z7" s="15" t="n"/>
      <c r="AA7" s="18" t="n"/>
      <c r="AB7" s="18" t="n"/>
      <c r="AC7" s="18" t="n"/>
      <c r="AD7" s="18" t="n"/>
      <c r="AE7" s="13" t="n"/>
      <c r="AF7" s="13" t="n"/>
      <c r="AG7" s="13" t="n"/>
      <c r="AH7" s="13" t="n"/>
      <c r="AI7" s="17" t="n"/>
      <c r="AJ7" s="17" t="n"/>
      <c r="AK7" s="17" t="n"/>
      <c r="AL7" s="17" t="n"/>
      <c r="AM7" s="17" t="n"/>
      <c r="AN7" s="17" t="n"/>
      <c r="AO7" s="17" t="n"/>
      <c r="AP7" s="17" t="n"/>
    </row>
    <row r="8">
      <c r="A8" s="9" t="inlineStr">
        <is>
          <t>2026-10</t>
        </is>
      </c>
      <c r="B8" s="9" t="inlineStr">
        <is>
          <t>Store</t>
        </is>
      </c>
      <c r="C8" s="9" t="inlineStr">
        <is>
          <t>Flagship</t>
        </is>
      </c>
      <c r="D8" s="9" t="inlineStr">
        <is>
          <t>HCM</t>
        </is>
      </c>
      <c r="E8" s="9" t="inlineStr">
        <is>
          <t>A010</t>
        </is>
      </c>
      <c r="F8" s="19" t="n">
        <v>12</v>
      </c>
      <c r="G8" s="20" t="n"/>
      <c r="H8" s="20" t="n"/>
      <c r="I8" s="20" t="n"/>
      <c r="J8" s="20" t="n"/>
      <c r="K8" s="21" t="n"/>
      <c r="L8" s="21" t="n"/>
      <c r="M8" s="21" t="n"/>
      <c r="N8" s="21" t="n"/>
      <c r="O8" s="14" t="n"/>
      <c r="P8" s="14" t="n"/>
      <c r="Q8" s="14" t="n"/>
      <c r="R8" s="14" t="n"/>
      <c r="S8" s="13" t="n"/>
      <c r="T8" s="13" t="n"/>
      <c r="U8" s="13" t="n"/>
      <c r="V8" s="13" t="n"/>
      <c r="W8" s="22" t="n"/>
      <c r="X8" s="22" t="n"/>
      <c r="Y8" s="22" t="n"/>
      <c r="Z8" s="22" t="n"/>
      <c r="AA8" s="16" t="n"/>
      <c r="AB8" s="16" t="n"/>
      <c r="AC8" s="16" t="n"/>
      <c r="AD8" s="16" t="n"/>
      <c r="AE8" s="14" t="n"/>
      <c r="AF8" s="14" t="n"/>
      <c r="AG8" s="14" t="n"/>
      <c r="AH8" s="14" t="n"/>
      <c r="AI8" s="17">
        <f>IFERROR(G8/$F8,"")</f>
        <v/>
      </c>
      <c r="AJ8" s="17">
        <f>IFERROR(H8/$F8,"")</f>
        <v/>
      </c>
      <c r="AK8" s="17">
        <f>IFERROR(I8/$F8,"")</f>
        <v/>
      </c>
      <c r="AL8" s="17">
        <f>IFERROR(J8/$F8,"")</f>
        <v/>
      </c>
      <c r="AM8" s="17">
        <f>IFERROR(I8/($F8*M8)*G8/I8,"")</f>
        <v/>
      </c>
      <c r="AN8" s="17">
        <f>IFERROR(I8/($F8*M8)*H8/I8,"")</f>
        <v/>
      </c>
      <c r="AO8" s="17">
        <f>IFERROR(I8/($F8*M8)*I8/I8,"")</f>
        <v/>
      </c>
      <c r="AP8" s="17">
        <f>IFERROR(I8/($F8*M8)*J8/I8,"")</f>
        <v/>
      </c>
    </row>
    <row r="9">
      <c r="A9" s="9" t="inlineStr">
        <is>
          <t>2026-10</t>
        </is>
      </c>
      <c r="B9" s="9" t="inlineStr">
        <is>
          <t>Store</t>
        </is>
      </c>
      <c r="C9" s="9" t="inlineStr">
        <is>
          <t>Standard</t>
        </is>
      </c>
      <c r="D9" s="9" t="inlineStr">
        <is>
          <t>HCM</t>
        </is>
      </c>
      <c r="E9" s="9" t="inlineStr">
        <is>
          <t>A011</t>
        </is>
      </c>
      <c r="F9" s="19" t="n">
        <v>12</v>
      </c>
      <c r="G9" s="20" t="n"/>
      <c r="H9" s="20" t="n"/>
      <c r="I9" s="20" t="n"/>
      <c r="J9" s="20" t="n"/>
      <c r="K9" s="21" t="n"/>
      <c r="L9" s="21" t="n"/>
      <c r="M9" s="21" t="n"/>
      <c r="N9" s="21" t="n"/>
      <c r="O9" s="14" t="n"/>
      <c r="P9" s="14" t="n"/>
      <c r="Q9" s="14" t="n"/>
      <c r="R9" s="14" t="n"/>
      <c r="S9" s="13" t="n"/>
      <c r="T9" s="13" t="n"/>
      <c r="U9" s="13" t="n"/>
      <c r="V9" s="13" t="n"/>
      <c r="W9" s="22" t="n"/>
      <c r="X9" s="22" t="n"/>
      <c r="Y9" s="22" t="n"/>
      <c r="Z9" s="22" t="n"/>
      <c r="AA9" s="16" t="n"/>
      <c r="AB9" s="16" t="n"/>
      <c r="AC9" s="16" t="n"/>
      <c r="AD9" s="16" t="n"/>
      <c r="AE9" s="14" t="n"/>
      <c r="AF9" s="14" t="n"/>
      <c r="AG9" s="14" t="n"/>
      <c r="AH9" s="14" t="n"/>
      <c r="AI9" s="17">
        <f>IFERROR(G9/$F9,"")</f>
        <v/>
      </c>
      <c r="AJ9" s="17">
        <f>IFERROR(H9/$F9,"")</f>
        <v/>
      </c>
      <c r="AK9" s="17">
        <f>IFERROR(I9/$F9,"")</f>
        <v/>
      </c>
      <c r="AL9" s="17">
        <f>IFERROR(J9/$F9,"")</f>
        <v/>
      </c>
      <c r="AM9" s="17">
        <f>IFERROR(I9/($F9*M9)*G9/I9,"")</f>
        <v/>
      </c>
      <c r="AN9" s="17">
        <f>IFERROR(I9/($F9*M9)*H9/I9,"")</f>
        <v/>
      </c>
      <c r="AO9" s="17">
        <f>IFERROR(I9/($F9*M9)*I9/I9,"")</f>
        <v/>
      </c>
      <c r="AP9" s="17">
        <f>IFERROR(I9/($F9*M9)*J9/I9,"")</f>
        <v/>
      </c>
    </row>
    <row r="10">
      <c r="A10" s="9" t="inlineStr">
        <is>
          <t>2026-10</t>
        </is>
      </c>
      <c r="B10" s="9" t="inlineStr">
        <is>
          <t>Store</t>
        </is>
      </c>
      <c r="C10" s="9" t="inlineStr">
        <is>
          <t>Standard</t>
        </is>
      </c>
      <c r="D10" s="9" t="inlineStr">
        <is>
          <t>HCM</t>
        </is>
      </c>
      <c r="E10" s="9" t="inlineStr">
        <is>
          <t>A012</t>
        </is>
      </c>
      <c r="F10" s="19" t="n">
        <v>12</v>
      </c>
      <c r="G10" s="20" t="n"/>
      <c r="H10" s="20" t="n"/>
      <c r="I10" s="20" t="n"/>
      <c r="J10" s="20" t="n"/>
      <c r="K10" s="21" t="n"/>
      <c r="L10" s="21" t="n"/>
      <c r="M10" s="21" t="n"/>
      <c r="N10" s="21" t="n"/>
      <c r="O10" s="14" t="n"/>
      <c r="P10" s="14" t="n"/>
      <c r="Q10" s="14" t="n"/>
      <c r="R10" s="14" t="n"/>
      <c r="S10" s="13" t="n"/>
      <c r="T10" s="13" t="n"/>
      <c r="U10" s="13" t="n"/>
      <c r="V10" s="13" t="n"/>
      <c r="W10" s="22" t="n"/>
      <c r="X10" s="22" t="n"/>
      <c r="Y10" s="22" t="n"/>
      <c r="Z10" s="22" t="n"/>
      <c r="AA10" s="16" t="n"/>
      <c r="AB10" s="16" t="n"/>
      <c r="AC10" s="16" t="n"/>
      <c r="AD10" s="16" t="n"/>
      <c r="AE10" s="14" t="n"/>
      <c r="AF10" s="14" t="n"/>
      <c r="AG10" s="14" t="n"/>
      <c r="AH10" s="14" t="n"/>
      <c r="AI10" s="17">
        <f>IFERROR(G10/$F10,"")</f>
        <v/>
      </c>
      <c r="AJ10" s="17">
        <f>IFERROR(H10/$F10,"")</f>
        <v/>
      </c>
      <c r="AK10" s="17">
        <f>IFERROR(I10/$F10,"")</f>
        <v/>
      </c>
      <c r="AL10" s="17">
        <f>IFERROR(J10/$F10,"")</f>
        <v/>
      </c>
      <c r="AM10" s="17">
        <f>IFERROR(I10/($F10*M10)*G10/I10,"")</f>
        <v/>
      </c>
      <c r="AN10" s="17">
        <f>IFERROR(I10/($F10*M10)*H10/I10,"")</f>
        <v/>
      </c>
      <c r="AO10" s="17">
        <f>IFERROR(I10/($F10*M10)*I10/I10,"")</f>
        <v/>
      </c>
      <c r="AP10" s="17">
        <f>IFERROR(I10/($F10*M10)*J10/I10,"")</f>
        <v/>
      </c>
    </row>
    <row r="11">
      <c r="A11" s="9" t="inlineStr">
        <is>
          <t>2026-10</t>
        </is>
      </c>
      <c r="B11" s="9" t="inlineStr">
        <is>
          <t>Store</t>
        </is>
      </c>
      <c r="C11" s="9" t="inlineStr">
        <is>
          <t>Mini</t>
        </is>
      </c>
      <c r="D11" s="9" t="inlineStr">
        <is>
          <t>HCM</t>
        </is>
      </c>
      <c r="E11" s="9" t="inlineStr">
        <is>
          <t>A013</t>
        </is>
      </c>
      <c r="F11" s="19" t="n">
        <v>12</v>
      </c>
      <c r="G11" s="20" t="n"/>
      <c r="H11" s="20" t="n"/>
      <c r="I11" s="20" t="n"/>
      <c r="J11" s="20" t="n"/>
      <c r="K11" s="21" t="n"/>
      <c r="L11" s="21" t="n"/>
      <c r="M11" s="21" t="n"/>
      <c r="N11" s="21" t="n"/>
      <c r="O11" s="14" t="n"/>
      <c r="P11" s="14" t="n"/>
      <c r="Q11" s="14" t="n"/>
      <c r="R11" s="14" t="n"/>
      <c r="S11" s="13" t="n"/>
      <c r="T11" s="13" t="n"/>
      <c r="U11" s="13" t="n"/>
      <c r="V11" s="13" t="n"/>
      <c r="W11" s="22" t="n"/>
      <c r="X11" s="22" t="n"/>
      <c r="Y11" s="22" t="n"/>
      <c r="Z11" s="22" t="n"/>
      <c r="AA11" s="16" t="n"/>
      <c r="AB11" s="16" t="n"/>
      <c r="AC11" s="16" t="n"/>
      <c r="AD11" s="16" t="n"/>
      <c r="AE11" s="14" t="n"/>
      <c r="AF11" s="14" t="n"/>
      <c r="AG11" s="14" t="n"/>
      <c r="AH11" s="14" t="n"/>
      <c r="AI11" s="17">
        <f>IFERROR(G11/$F11,"")</f>
        <v/>
      </c>
      <c r="AJ11" s="17">
        <f>IFERROR(H11/$F11,"")</f>
        <v/>
      </c>
      <c r="AK11" s="17">
        <f>IFERROR(I11/$F11,"")</f>
        <v/>
      </c>
      <c r="AL11" s="17">
        <f>IFERROR(J11/$F11,"")</f>
        <v/>
      </c>
      <c r="AM11" s="17">
        <f>IFERROR(I11/($F11*M11)*G11/I11,"")</f>
        <v/>
      </c>
      <c r="AN11" s="17">
        <f>IFERROR(I11/($F11*M11)*H11/I11,"")</f>
        <v/>
      </c>
      <c r="AO11" s="17">
        <f>IFERROR(I11/($F11*M11)*I11/I11,"")</f>
        <v/>
      </c>
      <c r="AP11" s="17">
        <f>IFERROR(I11/($F11*M11)*J11/I11,"")</f>
        <v/>
      </c>
    </row>
    <row r="12">
      <c r="A12" s="9" t="inlineStr">
        <is>
          <t>2026-10</t>
        </is>
      </c>
      <c r="B12" s="9" t="inlineStr">
        <is>
          <t>Store</t>
        </is>
      </c>
      <c r="C12" s="9" t="inlineStr">
        <is>
          <t>Mini</t>
        </is>
      </c>
      <c r="D12" s="9" t="inlineStr">
        <is>
          <t>HCM</t>
        </is>
      </c>
      <c r="E12" s="9" t="inlineStr">
        <is>
          <t>A014</t>
        </is>
      </c>
      <c r="F12" s="19" t="n">
        <v>12</v>
      </c>
      <c r="G12" s="20" t="n"/>
      <c r="H12" s="20" t="n"/>
      <c r="I12" s="20" t="n"/>
      <c r="J12" s="20" t="n"/>
      <c r="K12" s="21" t="n"/>
      <c r="L12" s="21" t="n"/>
      <c r="M12" s="21" t="n"/>
      <c r="N12" s="21" t="n"/>
      <c r="O12" s="14" t="n"/>
      <c r="P12" s="14" t="n"/>
      <c r="Q12" s="14" t="n"/>
      <c r="R12" s="14" t="n"/>
      <c r="S12" s="13" t="n"/>
      <c r="T12" s="13" t="n"/>
      <c r="U12" s="13" t="n"/>
      <c r="V12" s="13" t="n"/>
      <c r="W12" s="22" t="n"/>
      <c r="X12" s="22" t="n"/>
      <c r="Y12" s="22" t="n"/>
      <c r="Z12" s="22" t="n"/>
      <c r="AA12" s="16" t="n"/>
      <c r="AB12" s="16" t="n"/>
      <c r="AC12" s="16" t="n"/>
      <c r="AD12" s="16" t="n"/>
      <c r="AE12" s="14" t="n"/>
      <c r="AF12" s="14" t="n"/>
      <c r="AG12" s="14" t="n"/>
      <c r="AH12" s="14" t="n"/>
      <c r="AI12" s="17">
        <f>IFERROR(G12/$F12,"")</f>
        <v/>
      </c>
      <c r="AJ12" s="17">
        <f>IFERROR(H12/$F12,"")</f>
        <v/>
      </c>
      <c r="AK12" s="17">
        <f>IFERROR(I12/$F12,"")</f>
        <v/>
      </c>
      <c r="AL12" s="17">
        <f>IFERROR(J12/$F12,"")</f>
        <v/>
      </c>
      <c r="AM12" s="17">
        <f>IFERROR(I12/($F12*M12)*G12/I12,"")</f>
        <v/>
      </c>
      <c r="AN12" s="17">
        <f>IFERROR(I12/($F12*M12)*H12/I12,"")</f>
        <v/>
      </c>
      <c r="AO12" s="17">
        <f>IFERROR(I12/($F12*M12)*I12/I12,"")</f>
        <v/>
      </c>
      <c r="AP12" s="17">
        <f>IFERROR(I12/($F12*M12)*J12/I12,"")</f>
        <v/>
      </c>
    </row>
    <row r="13">
      <c r="A13" s="9" t="inlineStr">
        <is>
          <t>2026-10</t>
        </is>
      </c>
      <c r="B13" s="9" t="inlineStr">
        <is>
          <t>Store</t>
        </is>
      </c>
      <c r="C13" s="9" t="inlineStr">
        <is>
          <t>Standard</t>
        </is>
      </c>
      <c r="D13" s="9" t="inlineStr">
        <is>
          <t>HCM</t>
        </is>
      </c>
      <c r="E13" s="9" t="inlineStr">
        <is>
          <t>A015</t>
        </is>
      </c>
      <c r="F13" s="19" t="n">
        <v>12</v>
      </c>
      <c r="G13" s="20" t="n"/>
      <c r="H13" s="20" t="n"/>
      <c r="I13" s="20" t="n"/>
      <c r="J13" s="20" t="n"/>
      <c r="K13" s="21" t="n"/>
      <c r="L13" s="21" t="n"/>
      <c r="M13" s="21" t="n"/>
      <c r="N13" s="21" t="n"/>
      <c r="O13" s="14" t="n"/>
      <c r="P13" s="14" t="n"/>
      <c r="Q13" s="14" t="n"/>
      <c r="R13" s="14" t="n"/>
      <c r="S13" s="13" t="n"/>
      <c r="T13" s="13" t="n"/>
      <c r="U13" s="13" t="n"/>
      <c r="V13" s="13" t="n"/>
      <c r="W13" s="22" t="n"/>
      <c r="X13" s="22" t="n"/>
      <c r="Y13" s="22" t="n"/>
      <c r="Z13" s="22" t="n"/>
      <c r="AA13" s="16" t="n"/>
      <c r="AB13" s="16" t="n"/>
      <c r="AC13" s="16" t="n"/>
      <c r="AD13" s="16" t="n"/>
      <c r="AE13" s="14" t="n"/>
      <c r="AF13" s="14" t="n"/>
      <c r="AG13" s="14" t="n"/>
      <c r="AH13" s="14" t="n"/>
      <c r="AI13" s="17">
        <f>IFERROR(G13/$F13,"")</f>
        <v/>
      </c>
      <c r="AJ13" s="17">
        <f>IFERROR(H13/$F13,"")</f>
        <v/>
      </c>
      <c r="AK13" s="17">
        <f>IFERROR(I13/$F13,"")</f>
        <v/>
      </c>
      <c r="AL13" s="17">
        <f>IFERROR(J13/$F13,"")</f>
        <v/>
      </c>
      <c r="AM13" s="17">
        <f>IFERROR(I13/($F13*M13)*G13/I13,"")</f>
        <v/>
      </c>
      <c r="AN13" s="17">
        <f>IFERROR(I13/($F13*M13)*H13/I13,"")</f>
        <v/>
      </c>
      <c r="AO13" s="17">
        <f>IFERROR(I13/($F13*M13)*I13/I13,"")</f>
        <v/>
      </c>
      <c r="AP13" s="17">
        <f>IFERROR(I13/($F13*M13)*J13/I13,"")</f>
        <v/>
      </c>
    </row>
    <row r="14">
      <c r="A14" s="9" t="inlineStr">
        <is>
          <t>2026-10</t>
        </is>
      </c>
      <c r="B14" s="9" t="inlineStr">
        <is>
          <t>Store</t>
        </is>
      </c>
      <c r="C14" s="9" t="inlineStr">
        <is>
          <t>Standard</t>
        </is>
      </c>
      <c r="D14" s="9" t="inlineStr">
        <is>
          <t>HNI</t>
        </is>
      </c>
      <c r="E14" s="9" t="inlineStr">
        <is>
          <t>A016</t>
        </is>
      </c>
      <c r="F14" s="19" t="n">
        <v>12</v>
      </c>
      <c r="G14" s="20" t="n"/>
      <c r="H14" s="20" t="n"/>
      <c r="I14" s="20" t="n"/>
      <c r="J14" s="20" t="n"/>
      <c r="K14" s="21" t="n"/>
      <c r="L14" s="21" t="n"/>
      <c r="M14" s="21" t="n"/>
      <c r="N14" s="21" t="n"/>
      <c r="O14" s="14" t="n"/>
      <c r="P14" s="14" t="n"/>
      <c r="Q14" s="14" t="n"/>
      <c r="R14" s="14" t="n"/>
      <c r="S14" s="13" t="n"/>
      <c r="T14" s="13" t="n"/>
      <c r="U14" s="13" t="n"/>
      <c r="V14" s="13" t="n"/>
      <c r="W14" s="22" t="n"/>
      <c r="X14" s="22" t="n"/>
      <c r="Y14" s="22" t="n"/>
      <c r="Z14" s="22" t="n"/>
      <c r="AA14" s="16" t="n"/>
      <c r="AB14" s="16" t="n"/>
      <c r="AC14" s="16" t="n"/>
      <c r="AD14" s="16" t="n"/>
      <c r="AE14" s="14" t="n"/>
      <c r="AF14" s="14" t="n"/>
      <c r="AG14" s="14" t="n"/>
      <c r="AH14" s="14" t="n"/>
      <c r="AI14" s="17">
        <f>IFERROR(G14/$F14,"")</f>
        <v/>
      </c>
      <c r="AJ14" s="17">
        <f>IFERROR(H14/$F14,"")</f>
        <v/>
      </c>
      <c r="AK14" s="17">
        <f>IFERROR(I14/$F14,"")</f>
        <v/>
      </c>
      <c r="AL14" s="17">
        <f>IFERROR(J14/$F14,"")</f>
        <v/>
      </c>
      <c r="AM14" s="17">
        <f>IFERROR(I14/($F14*M14)*G14/I14,"")</f>
        <v/>
      </c>
      <c r="AN14" s="17">
        <f>IFERROR(I14/($F14*M14)*H14/I14,"")</f>
        <v/>
      </c>
      <c r="AO14" s="17">
        <f>IFERROR(I14/($F14*M14)*I14/I14,"")</f>
        <v/>
      </c>
      <c r="AP14" s="17">
        <f>IFERROR(I14/($F14*M14)*J14/I14,"")</f>
        <v/>
      </c>
    </row>
    <row r="15">
      <c r="A15" s="9" t="inlineStr">
        <is>
          <t>2026-10</t>
        </is>
      </c>
      <c r="B15" s="9" t="inlineStr">
        <is>
          <t>Store</t>
        </is>
      </c>
      <c r="C15" s="9" t="inlineStr">
        <is>
          <t>Standard</t>
        </is>
      </c>
      <c r="D15" s="9" t="inlineStr">
        <is>
          <t>HNI</t>
        </is>
      </c>
      <c r="E15" s="9" t="inlineStr">
        <is>
          <t>A017</t>
        </is>
      </c>
      <c r="F15" s="19" t="n">
        <v>12</v>
      </c>
      <c r="G15" s="20" t="n"/>
      <c r="H15" s="20" t="n"/>
      <c r="I15" s="20" t="n"/>
      <c r="J15" s="20" t="n"/>
      <c r="K15" s="21" t="n"/>
      <c r="L15" s="21" t="n"/>
      <c r="M15" s="21" t="n"/>
      <c r="N15" s="21" t="n"/>
      <c r="O15" s="14" t="n"/>
      <c r="P15" s="14" t="n"/>
      <c r="Q15" s="14" t="n"/>
      <c r="R15" s="14" t="n"/>
      <c r="S15" s="13" t="n"/>
      <c r="T15" s="13" t="n"/>
      <c r="U15" s="13" t="n"/>
      <c r="V15" s="13" t="n"/>
      <c r="W15" s="22" t="n"/>
      <c r="X15" s="22" t="n"/>
      <c r="Y15" s="22" t="n"/>
      <c r="Z15" s="22" t="n"/>
      <c r="AA15" s="16" t="n"/>
      <c r="AB15" s="16" t="n"/>
      <c r="AC15" s="16" t="n"/>
      <c r="AD15" s="16" t="n"/>
      <c r="AE15" s="14" t="n"/>
      <c r="AF15" s="14" t="n"/>
      <c r="AG15" s="14" t="n"/>
      <c r="AH15" s="14" t="n"/>
      <c r="AI15" s="17">
        <f>IFERROR(G15/$F15,"")</f>
        <v/>
      </c>
      <c r="AJ15" s="17">
        <f>IFERROR(H15/$F15,"")</f>
        <v/>
      </c>
      <c r="AK15" s="17">
        <f>IFERROR(I15/$F15,"")</f>
        <v/>
      </c>
      <c r="AL15" s="17">
        <f>IFERROR(J15/$F15,"")</f>
        <v/>
      </c>
      <c r="AM15" s="17">
        <f>IFERROR(I15/($F15*M15)*G15/I15,"")</f>
        <v/>
      </c>
      <c r="AN15" s="17">
        <f>IFERROR(I15/($F15*M15)*H15/I15,"")</f>
        <v/>
      </c>
      <c r="AO15" s="17">
        <f>IFERROR(I15/($F15*M15)*I15/I15,"")</f>
        <v/>
      </c>
      <c r="AP15" s="17">
        <f>IFERROR(I15/($F15*M15)*J15/I15,"")</f>
        <v/>
      </c>
    </row>
    <row r="16">
      <c r="A16" s="9" t="inlineStr">
        <is>
          <t>2026-10</t>
        </is>
      </c>
      <c r="B16" s="9" t="inlineStr">
        <is>
          <t>Store</t>
        </is>
      </c>
      <c r="C16" s="9" t="inlineStr">
        <is>
          <t>Mini</t>
        </is>
      </c>
      <c r="D16" s="9" t="inlineStr">
        <is>
          <t>HNI</t>
        </is>
      </c>
      <c r="E16" s="9" t="inlineStr">
        <is>
          <t>A018</t>
        </is>
      </c>
      <c r="F16" s="19" t="n">
        <v>12</v>
      </c>
      <c r="G16" s="20" t="n"/>
      <c r="H16" s="20" t="n"/>
      <c r="I16" s="20" t="n"/>
      <c r="J16" s="20" t="n"/>
      <c r="K16" s="21" t="n"/>
      <c r="L16" s="21" t="n"/>
      <c r="M16" s="21" t="n"/>
      <c r="N16" s="21" t="n"/>
      <c r="O16" s="14" t="n"/>
      <c r="P16" s="14" t="n"/>
      <c r="Q16" s="14" t="n"/>
      <c r="R16" s="14" t="n"/>
      <c r="S16" s="13" t="n"/>
      <c r="T16" s="13" t="n"/>
      <c r="U16" s="13" t="n"/>
      <c r="V16" s="13" t="n"/>
      <c r="W16" s="22" t="n"/>
      <c r="X16" s="22" t="n"/>
      <c r="Y16" s="22" t="n"/>
      <c r="Z16" s="22" t="n"/>
      <c r="AA16" s="16" t="n"/>
      <c r="AB16" s="16" t="n"/>
      <c r="AC16" s="16" t="n"/>
      <c r="AD16" s="16" t="n"/>
      <c r="AE16" s="14" t="n"/>
      <c r="AF16" s="14" t="n"/>
      <c r="AG16" s="14" t="n"/>
      <c r="AH16" s="14" t="n"/>
      <c r="AI16" s="17">
        <f>IFERROR(G16/$F16,"")</f>
        <v/>
      </c>
      <c r="AJ16" s="17">
        <f>IFERROR(H16/$F16,"")</f>
        <v/>
      </c>
      <c r="AK16" s="17">
        <f>IFERROR(I16/$F16,"")</f>
        <v/>
      </c>
      <c r="AL16" s="17">
        <f>IFERROR(J16/$F16,"")</f>
        <v/>
      </c>
      <c r="AM16" s="17">
        <f>IFERROR(I16/($F16*M16)*G16/I16,"")</f>
        <v/>
      </c>
      <c r="AN16" s="17">
        <f>IFERROR(I16/($F16*M16)*H16/I16,"")</f>
        <v/>
      </c>
      <c r="AO16" s="17">
        <f>IFERROR(I16/($F16*M16)*I16/I16,"")</f>
        <v/>
      </c>
      <c r="AP16" s="17">
        <f>IFERROR(I16/($F16*M16)*J16/I16,"")</f>
        <v/>
      </c>
    </row>
    <row r="17">
      <c r="A17" s="9" t="inlineStr">
        <is>
          <t>2026-10</t>
        </is>
      </c>
      <c r="B17" s="9" t="inlineStr">
        <is>
          <t>Store</t>
        </is>
      </c>
      <c r="C17" s="9" t="inlineStr">
        <is>
          <t>Flagship</t>
        </is>
      </c>
      <c r="D17" s="9" t="inlineStr">
        <is>
          <t>HNI</t>
        </is>
      </c>
      <c r="E17" s="9" t="inlineStr">
        <is>
          <t>A019</t>
        </is>
      </c>
      <c r="F17" s="19" t="n">
        <v>12</v>
      </c>
      <c r="G17" s="20" t="n"/>
      <c r="H17" s="20" t="n"/>
      <c r="I17" s="20" t="n"/>
      <c r="J17" s="20" t="n"/>
      <c r="K17" s="21" t="n"/>
      <c r="L17" s="21" t="n"/>
      <c r="M17" s="21" t="n"/>
      <c r="N17" s="21" t="n"/>
      <c r="O17" s="14" t="n"/>
      <c r="P17" s="14" t="n"/>
      <c r="Q17" s="14" t="n"/>
      <c r="R17" s="14" t="n"/>
      <c r="S17" s="13" t="n"/>
      <c r="T17" s="13" t="n"/>
      <c r="U17" s="13" t="n"/>
      <c r="V17" s="13" t="n"/>
      <c r="W17" s="22" t="n"/>
      <c r="X17" s="22" t="n"/>
      <c r="Y17" s="22" t="n"/>
      <c r="Z17" s="22" t="n"/>
      <c r="AA17" s="16" t="n"/>
      <c r="AB17" s="16" t="n"/>
      <c r="AC17" s="16" t="n"/>
      <c r="AD17" s="16" t="n"/>
      <c r="AE17" s="14" t="n"/>
      <c r="AF17" s="14" t="n"/>
      <c r="AG17" s="14" t="n"/>
      <c r="AH17" s="14" t="n"/>
      <c r="AI17" s="17">
        <f>IFERROR(G17/$F17,"")</f>
        <v/>
      </c>
      <c r="AJ17" s="17">
        <f>IFERROR(H17/$F17,"")</f>
        <v/>
      </c>
      <c r="AK17" s="17">
        <f>IFERROR(I17/$F17,"")</f>
        <v/>
      </c>
      <c r="AL17" s="17">
        <f>IFERROR(J17/$F17,"")</f>
        <v/>
      </c>
      <c r="AM17" s="17">
        <f>IFERROR(I17/($F17*M17)*G17/I17,"")</f>
        <v/>
      </c>
      <c r="AN17" s="17">
        <f>IFERROR(I17/($F17*M17)*H17/I17,"")</f>
        <v/>
      </c>
      <c r="AO17" s="17">
        <f>IFERROR(I17/($F17*M17)*I17/I17,"")</f>
        <v/>
      </c>
      <c r="AP17" s="17">
        <f>IFERROR(I17/($F17*M17)*J17/I17,"")</f>
        <v/>
      </c>
    </row>
    <row r="18">
      <c r="A18" s="9" t="inlineStr">
        <is>
          <t>2026-11</t>
        </is>
      </c>
      <c r="B18" s="9" t="inlineStr">
        <is>
          <t>Chain</t>
        </is>
      </c>
      <c r="C18" s="9" t="inlineStr"/>
      <c r="D18" s="9" t="inlineStr"/>
      <c r="E18" s="9" t="inlineStr"/>
      <c r="F18" s="10" t="n"/>
      <c r="G18" s="11" t="n"/>
      <c r="H18" s="11" t="n"/>
      <c r="I18" s="11" t="n"/>
      <c r="J18" s="11" t="n"/>
      <c r="K18" s="12" t="n"/>
      <c r="L18" s="12" t="n"/>
      <c r="M18" s="12" t="n"/>
      <c r="N18" s="12" t="n"/>
      <c r="O18" s="13" t="n"/>
      <c r="P18" s="13" t="n"/>
      <c r="Q18" s="13" t="n"/>
      <c r="R18" s="13" t="n"/>
      <c r="S18" s="14" t="n"/>
      <c r="T18" s="14" t="n"/>
      <c r="U18" s="14" t="n"/>
      <c r="V18" s="14" t="n"/>
      <c r="W18" s="15" t="n"/>
      <c r="X18" s="15" t="n"/>
      <c r="Y18" s="15" t="n"/>
      <c r="Z18" s="15" t="n"/>
      <c r="AA18" s="16" t="n"/>
      <c r="AB18" s="16" t="n"/>
      <c r="AC18" s="16" t="n"/>
      <c r="AD18" s="16" t="n"/>
      <c r="AE18" s="14" t="n"/>
      <c r="AF18" s="14" t="n"/>
      <c r="AG18" s="14" t="n"/>
      <c r="AH18" s="14" t="n"/>
      <c r="AI18" s="17" t="n"/>
      <c r="AJ18" s="17" t="n"/>
      <c r="AK18" s="17" t="n"/>
      <c r="AL18" s="17" t="n"/>
      <c r="AM18" s="17" t="n"/>
      <c r="AN18" s="17" t="n"/>
      <c r="AO18" s="17" t="n"/>
      <c r="AP18" s="17" t="n"/>
    </row>
    <row r="19">
      <c r="A19" s="9" t="inlineStr">
        <is>
          <t>2026-11</t>
        </is>
      </c>
      <c r="B19" s="9" t="inlineStr">
        <is>
          <t>Model</t>
        </is>
      </c>
      <c r="C19" s="9" t="inlineStr">
        <is>
          <t>Flagship</t>
        </is>
      </c>
      <c r="D19" s="9" t="inlineStr"/>
      <c r="E19" s="9" t="inlineStr"/>
      <c r="F19" s="10" t="n"/>
      <c r="G19" s="11" t="n"/>
      <c r="H19" s="11" t="n"/>
      <c r="I19" s="11" t="n"/>
      <c r="J19" s="11" t="n"/>
      <c r="K19" s="12" t="n"/>
      <c r="L19" s="12" t="n"/>
      <c r="M19" s="12" t="n"/>
      <c r="N19" s="12" t="n"/>
      <c r="O19" s="13" t="n"/>
      <c r="P19" s="13" t="n"/>
      <c r="Q19" s="13" t="n"/>
      <c r="R19" s="13" t="n"/>
      <c r="S19" s="14" t="n"/>
      <c r="T19" s="14" t="n"/>
      <c r="U19" s="14" t="n"/>
      <c r="V19" s="14" t="n"/>
      <c r="W19" s="15" t="n"/>
      <c r="X19" s="15" t="n"/>
      <c r="Y19" s="15" t="n"/>
      <c r="Z19" s="15" t="n"/>
      <c r="AA19" s="18" t="n"/>
      <c r="AB19" s="18" t="n"/>
      <c r="AC19" s="18" t="n"/>
      <c r="AD19" s="18" t="n"/>
      <c r="AE19" s="13" t="n"/>
      <c r="AF19" s="13" t="n"/>
      <c r="AG19" s="13" t="n"/>
      <c r="AH19" s="13" t="n"/>
      <c r="AI19" s="17" t="n"/>
      <c r="AJ19" s="17" t="n"/>
      <c r="AK19" s="17" t="n"/>
      <c r="AL19" s="17" t="n"/>
      <c r="AM19" s="17" t="n"/>
      <c r="AN19" s="17" t="n"/>
      <c r="AO19" s="17" t="n"/>
      <c r="AP19" s="17" t="n"/>
    </row>
    <row r="20">
      <c r="A20" s="9" t="inlineStr">
        <is>
          <t>2026-11</t>
        </is>
      </c>
      <c r="B20" s="9" t="inlineStr">
        <is>
          <t>Model</t>
        </is>
      </c>
      <c r="C20" s="9" t="inlineStr">
        <is>
          <t>Standard</t>
        </is>
      </c>
      <c r="D20" s="9" t="inlineStr"/>
      <c r="E20" s="9" t="inlineStr"/>
      <c r="F20" s="10" t="n"/>
      <c r="G20" s="11" t="n"/>
      <c r="H20" s="11" t="n"/>
      <c r="I20" s="11" t="n"/>
      <c r="J20" s="11" t="n"/>
      <c r="K20" s="12" t="n"/>
      <c r="L20" s="12" t="n"/>
      <c r="M20" s="12" t="n"/>
      <c r="N20" s="12" t="n"/>
      <c r="O20" s="13" t="n"/>
      <c r="P20" s="13" t="n"/>
      <c r="Q20" s="13" t="n"/>
      <c r="R20" s="13" t="n"/>
      <c r="S20" s="14" t="n"/>
      <c r="T20" s="14" t="n"/>
      <c r="U20" s="14" t="n"/>
      <c r="V20" s="14" t="n"/>
      <c r="W20" s="15" t="n"/>
      <c r="X20" s="15" t="n"/>
      <c r="Y20" s="15" t="n"/>
      <c r="Z20" s="15" t="n"/>
      <c r="AA20" s="18" t="n"/>
      <c r="AB20" s="18" t="n"/>
      <c r="AC20" s="18" t="n"/>
      <c r="AD20" s="18" t="n"/>
      <c r="AE20" s="13" t="n"/>
      <c r="AF20" s="13" t="n"/>
      <c r="AG20" s="13" t="n"/>
      <c r="AH20" s="13" t="n"/>
      <c r="AI20" s="17" t="n"/>
      <c r="AJ20" s="17" t="n"/>
      <c r="AK20" s="17" t="n"/>
      <c r="AL20" s="17" t="n"/>
      <c r="AM20" s="17" t="n"/>
      <c r="AN20" s="17" t="n"/>
      <c r="AO20" s="17" t="n"/>
      <c r="AP20" s="17" t="n"/>
    </row>
    <row r="21">
      <c r="A21" s="9" t="inlineStr">
        <is>
          <t>2026-11</t>
        </is>
      </c>
      <c r="B21" s="9" t="inlineStr">
        <is>
          <t>Model</t>
        </is>
      </c>
      <c r="C21" s="9" t="inlineStr">
        <is>
          <t>Mini</t>
        </is>
      </c>
      <c r="D21" s="9" t="inlineStr"/>
      <c r="E21" s="9" t="inlineStr"/>
      <c r="F21" s="10" t="n"/>
      <c r="G21" s="11" t="n"/>
      <c r="H21" s="11" t="n"/>
      <c r="I21" s="11" t="n"/>
      <c r="J21" s="11" t="n"/>
      <c r="K21" s="12" t="n"/>
      <c r="L21" s="12" t="n"/>
      <c r="M21" s="12" t="n"/>
      <c r="N21" s="12" t="n"/>
      <c r="O21" s="13" t="n"/>
      <c r="P21" s="13" t="n"/>
      <c r="Q21" s="13" t="n"/>
      <c r="R21" s="13" t="n"/>
      <c r="S21" s="14" t="n"/>
      <c r="T21" s="14" t="n"/>
      <c r="U21" s="14" t="n"/>
      <c r="V21" s="14" t="n"/>
      <c r="W21" s="15" t="n"/>
      <c r="X21" s="15" t="n"/>
      <c r="Y21" s="15" t="n"/>
      <c r="Z21" s="15" t="n"/>
      <c r="AA21" s="18" t="n"/>
      <c r="AB21" s="18" t="n"/>
      <c r="AC21" s="18" t="n"/>
      <c r="AD21" s="18" t="n"/>
      <c r="AE21" s="13" t="n"/>
      <c r="AF21" s="13" t="n"/>
      <c r="AG21" s="13" t="n"/>
      <c r="AH21" s="13" t="n"/>
      <c r="AI21" s="17" t="n"/>
      <c r="AJ21" s="17" t="n"/>
      <c r="AK21" s="17" t="n"/>
      <c r="AL21" s="17" t="n"/>
      <c r="AM21" s="17" t="n"/>
      <c r="AN21" s="17" t="n"/>
      <c r="AO21" s="17" t="n"/>
      <c r="AP21" s="17" t="n"/>
    </row>
    <row r="22">
      <c r="A22" s="9" t="inlineStr">
        <is>
          <t>2026-11</t>
        </is>
      </c>
      <c r="B22" s="9" t="inlineStr">
        <is>
          <t>Store</t>
        </is>
      </c>
      <c r="C22" s="9" t="inlineStr">
        <is>
          <t>Flagship</t>
        </is>
      </c>
      <c r="D22" s="9" t="inlineStr">
        <is>
          <t>HCM</t>
        </is>
      </c>
      <c r="E22" s="9" t="inlineStr">
        <is>
          <t>A010</t>
        </is>
      </c>
      <c r="F22" s="19" t="n">
        <v>30</v>
      </c>
      <c r="G22" s="20" t="n"/>
      <c r="H22" s="20" t="n"/>
      <c r="I22" s="20" t="n"/>
      <c r="J22" s="20" t="n"/>
      <c r="K22" s="21" t="n"/>
      <c r="L22" s="21" t="n"/>
      <c r="M22" s="21" t="n"/>
      <c r="N22" s="21" t="n"/>
      <c r="O22" s="14" t="n"/>
      <c r="P22" s="14" t="n"/>
      <c r="Q22" s="14" t="n"/>
      <c r="R22" s="14" t="n"/>
      <c r="S22" s="13" t="n"/>
      <c r="T22" s="13" t="n"/>
      <c r="U22" s="13" t="n"/>
      <c r="V22" s="13" t="n"/>
      <c r="W22" s="22" t="n"/>
      <c r="X22" s="22" t="n"/>
      <c r="Y22" s="22" t="n"/>
      <c r="Z22" s="22" t="n"/>
      <c r="AA22" s="16" t="n"/>
      <c r="AB22" s="16" t="n"/>
      <c r="AC22" s="16" t="n"/>
      <c r="AD22" s="16" t="n"/>
      <c r="AE22" s="14" t="n"/>
      <c r="AF22" s="14" t="n"/>
      <c r="AG22" s="14" t="n"/>
      <c r="AH22" s="14" t="n"/>
      <c r="AI22" s="17">
        <f>IFERROR(G22/$F22,"")</f>
        <v/>
      </c>
      <c r="AJ22" s="17">
        <f>IFERROR(H22/$F22,"")</f>
        <v/>
      </c>
      <c r="AK22" s="17">
        <f>IFERROR(I22/$F22,"")</f>
        <v/>
      </c>
      <c r="AL22" s="17">
        <f>IFERROR(J22/$F22,"")</f>
        <v/>
      </c>
      <c r="AM22" s="17">
        <f>IFERROR(I22/($F22*M22)*G22/I22,"")</f>
        <v/>
      </c>
      <c r="AN22" s="17">
        <f>IFERROR(I22/($F22*M22)*H22/I22,"")</f>
        <v/>
      </c>
      <c r="AO22" s="17">
        <f>IFERROR(I22/($F22*M22)*I22/I22,"")</f>
        <v/>
      </c>
      <c r="AP22" s="17">
        <f>IFERROR(I22/($F22*M22)*J22/I22,"")</f>
        <v/>
      </c>
    </row>
    <row r="23">
      <c r="A23" s="9" t="inlineStr">
        <is>
          <t>2026-11</t>
        </is>
      </c>
      <c r="B23" s="9" t="inlineStr">
        <is>
          <t>Store</t>
        </is>
      </c>
      <c r="C23" s="9" t="inlineStr">
        <is>
          <t>Standard</t>
        </is>
      </c>
      <c r="D23" s="9" t="inlineStr">
        <is>
          <t>HCM</t>
        </is>
      </c>
      <c r="E23" s="9" t="inlineStr">
        <is>
          <t>A011</t>
        </is>
      </c>
      <c r="F23" s="19" t="n">
        <v>30</v>
      </c>
      <c r="G23" s="20" t="n"/>
      <c r="H23" s="20" t="n"/>
      <c r="I23" s="20" t="n"/>
      <c r="J23" s="20" t="n"/>
      <c r="K23" s="21" t="n"/>
      <c r="L23" s="21" t="n"/>
      <c r="M23" s="21" t="n"/>
      <c r="N23" s="21" t="n"/>
      <c r="O23" s="14" t="n"/>
      <c r="P23" s="14" t="n"/>
      <c r="Q23" s="14" t="n"/>
      <c r="R23" s="14" t="n"/>
      <c r="S23" s="13" t="n"/>
      <c r="T23" s="13" t="n"/>
      <c r="U23" s="13" t="n"/>
      <c r="V23" s="13" t="n"/>
      <c r="W23" s="22" t="n"/>
      <c r="X23" s="22" t="n"/>
      <c r="Y23" s="22" t="n"/>
      <c r="Z23" s="22" t="n"/>
      <c r="AA23" s="16" t="n"/>
      <c r="AB23" s="16" t="n"/>
      <c r="AC23" s="16" t="n"/>
      <c r="AD23" s="16" t="n"/>
      <c r="AE23" s="14" t="n"/>
      <c r="AF23" s="14" t="n"/>
      <c r="AG23" s="14" t="n"/>
      <c r="AH23" s="14" t="n"/>
      <c r="AI23" s="17">
        <f>IFERROR(G23/$F23,"")</f>
        <v/>
      </c>
      <c r="AJ23" s="17">
        <f>IFERROR(H23/$F23,"")</f>
        <v/>
      </c>
      <c r="AK23" s="17">
        <f>IFERROR(I23/$F23,"")</f>
        <v/>
      </c>
      <c r="AL23" s="17">
        <f>IFERROR(J23/$F23,"")</f>
        <v/>
      </c>
      <c r="AM23" s="17">
        <f>IFERROR(I23/($F23*M23)*G23/I23,"")</f>
        <v/>
      </c>
      <c r="AN23" s="17">
        <f>IFERROR(I23/($F23*M23)*H23/I23,"")</f>
        <v/>
      </c>
      <c r="AO23" s="17">
        <f>IFERROR(I23/($F23*M23)*I23/I23,"")</f>
        <v/>
      </c>
      <c r="AP23" s="17">
        <f>IFERROR(I23/($F23*M23)*J23/I23,"")</f>
        <v/>
      </c>
    </row>
    <row r="24">
      <c r="A24" s="9" t="inlineStr">
        <is>
          <t>2026-11</t>
        </is>
      </c>
      <c r="B24" s="9" t="inlineStr">
        <is>
          <t>Store</t>
        </is>
      </c>
      <c r="C24" s="9" t="inlineStr">
        <is>
          <t>Standard</t>
        </is>
      </c>
      <c r="D24" s="9" t="inlineStr">
        <is>
          <t>HCM</t>
        </is>
      </c>
      <c r="E24" s="9" t="inlineStr">
        <is>
          <t>A012</t>
        </is>
      </c>
      <c r="F24" s="19" t="n">
        <v>30</v>
      </c>
      <c r="G24" s="20" t="n"/>
      <c r="H24" s="20" t="n"/>
      <c r="I24" s="20" t="n"/>
      <c r="J24" s="20" t="n"/>
      <c r="K24" s="21" t="n"/>
      <c r="L24" s="21" t="n"/>
      <c r="M24" s="21" t="n"/>
      <c r="N24" s="21" t="n"/>
      <c r="O24" s="14" t="n"/>
      <c r="P24" s="14" t="n"/>
      <c r="Q24" s="14" t="n"/>
      <c r="R24" s="14" t="n"/>
      <c r="S24" s="13" t="n"/>
      <c r="T24" s="13" t="n"/>
      <c r="U24" s="13" t="n"/>
      <c r="V24" s="13" t="n"/>
      <c r="W24" s="22" t="n"/>
      <c r="X24" s="22" t="n"/>
      <c r="Y24" s="22" t="n"/>
      <c r="Z24" s="22" t="n"/>
      <c r="AA24" s="16" t="n"/>
      <c r="AB24" s="16" t="n"/>
      <c r="AC24" s="16" t="n"/>
      <c r="AD24" s="16" t="n"/>
      <c r="AE24" s="14" t="n"/>
      <c r="AF24" s="14" t="n"/>
      <c r="AG24" s="14" t="n"/>
      <c r="AH24" s="14" t="n"/>
      <c r="AI24" s="17">
        <f>IFERROR(G24/$F24,"")</f>
        <v/>
      </c>
      <c r="AJ24" s="17">
        <f>IFERROR(H24/$F24,"")</f>
        <v/>
      </c>
      <c r="AK24" s="17">
        <f>IFERROR(I24/$F24,"")</f>
        <v/>
      </c>
      <c r="AL24" s="17">
        <f>IFERROR(J24/$F24,"")</f>
        <v/>
      </c>
      <c r="AM24" s="17">
        <f>IFERROR(I24/($F24*M24)*G24/I24,"")</f>
        <v/>
      </c>
      <c r="AN24" s="17">
        <f>IFERROR(I24/($F24*M24)*H24/I24,"")</f>
        <v/>
      </c>
      <c r="AO24" s="17">
        <f>IFERROR(I24/($F24*M24)*I24/I24,"")</f>
        <v/>
      </c>
      <c r="AP24" s="17">
        <f>IFERROR(I24/($F24*M24)*J24/I24,"")</f>
        <v/>
      </c>
    </row>
    <row r="25">
      <c r="A25" s="9" t="inlineStr">
        <is>
          <t>2026-11</t>
        </is>
      </c>
      <c r="B25" s="9" t="inlineStr">
        <is>
          <t>Store</t>
        </is>
      </c>
      <c r="C25" s="9" t="inlineStr">
        <is>
          <t>Mini</t>
        </is>
      </c>
      <c r="D25" s="9" t="inlineStr">
        <is>
          <t>HCM</t>
        </is>
      </c>
      <c r="E25" s="9" t="inlineStr">
        <is>
          <t>A013</t>
        </is>
      </c>
      <c r="F25" s="19" t="n">
        <v>30</v>
      </c>
      <c r="G25" s="20" t="n"/>
      <c r="H25" s="20" t="n"/>
      <c r="I25" s="20" t="n"/>
      <c r="J25" s="20" t="n"/>
      <c r="K25" s="21" t="n"/>
      <c r="L25" s="21" t="n"/>
      <c r="M25" s="21" t="n"/>
      <c r="N25" s="21" t="n"/>
      <c r="O25" s="14" t="n"/>
      <c r="P25" s="14" t="n"/>
      <c r="Q25" s="14" t="n"/>
      <c r="R25" s="14" t="n"/>
      <c r="S25" s="13" t="n"/>
      <c r="T25" s="13" t="n"/>
      <c r="U25" s="13" t="n"/>
      <c r="V25" s="13" t="n"/>
      <c r="W25" s="22" t="n"/>
      <c r="X25" s="22" t="n"/>
      <c r="Y25" s="22" t="n"/>
      <c r="Z25" s="22" t="n"/>
      <c r="AA25" s="16" t="n"/>
      <c r="AB25" s="16" t="n"/>
      <c r="AC25" s="16" t="n"/>
      <c r="AD25" s="16" t="n"/>
      <c r="AE25" s="14" t="n"/>
      <c r="AF25" s="14" t="n"/>
      <c r="AG25" s="14" t="n"/>
      <c r="AH25" s="14" t="n"/>
      <c r="AI25" s="17">
        <f>IFERROR(G25/$F25,"")</f>
        <v/>
      </c>
      <c r="AJ25" s="17">
        <f>IFERROR(H25/$F25,"")</f>
        <v/>
      </c>
      <c r="AK25" s="17">
        <f>IFERROR(I25/$F25,"")</f>
        <v/>
      </c>
      <c r="AL25" s="17">
        <f>IFERROR(J25/$F25,"")</f>
        <v/>
      </c>
      <c r="AM25" s="17">
        <f>IFERROR(I25/($F25*M25)*G25/I25,"")</f>
        <v/>
      </c>
      <c r="AN25" s="17">
        <f>IFERROR(I25/($F25*M25)*H25/I25,"")</f>
        <v/>
      </c>
      <c r="AO25" s="17">
        <f>IFERROR(I25/($F25*M25)*I25/I25,"")</f>
        <v/>
      </c>
      <c r="AP25" s="17">
        <f>IFERROR(I25/($F25*M25)*J25/I25,"")</f>
        <v/>
      </c>
    </row>
    <row r="26">
      <c r="A26" s="9" t="inlineStr">
        <is>
          <t>2026-11</t>
        </is>
      </c>
      <c r="B26" s="9" t="inlineStr">
        <is>
          <t>Store</t>
        </is>
      </c>
      <c r="C26" s="9" t="inlineStr">
        <is>
          <t>Mini</t>
        </is>
      </c>
      <c r="D26" s="9" t="inlineStr">
        <is>
          <t>HCM</t>
        </is>
      </c>
      <c r="E26" s="9" t="inlineStr">
        <is>
          <t>A014</t>
        </is>
      </c>
      <c r="F26" s="19" t="n">
        <v>30</v>
      </c>
      <c r="G26" s="20" t="n"/>
      <c r="H26" s="20" t="n"/>
      <c r="I26" s="20" t="n"/>
      <c r="J26" s="20" t="n"/>
      <c r="K26" s="21" t="n"/>
      <c r="L26" s="21" t="n"/>
      <c r="M26" s="21" t="n"/>
      <c r="N26" s="21" t="n"/>
      <c r="O26" s="14" t="n"/>
      <c r="P26" s="14" t="n"/>
      <c r="Q26" s="14" t="n"/>
      <c r="R26" s="14" t="n"/>
      <c r="S26" s="13" t="n"/>
      <c r="T26" s="13" t="n"/>
      <c r="U26" s="13" t="n"/>
      <c r="V26" s="13" t="n"/>
      <c r="W26" s="22" t="n"/>
      <c r="X26" s="22" t="n"/>
      <c r="Y26" s="22" t="n"/>
      <c r="Z26" s="22" t="n"/>
      <c r="AA26" s="16" t="n"/>
      <c r="AB26" s="16" t="n"/>
      <c r="AC26" s="16" t="n"/>
      <c r="AD26" s="16" t="n"/>
      <c r="AE26" s="14" t="n"/>
      <c r="AF26" s="14" t="n"/>
      <c r="AG26" s="14" t="n"/>
      <c r="AH26" s="14" t="n"/>
      <c r="AI26" s="17">
        <f>IFERROR(G26/$F26,"")</f>
        <v/>
      </c>
      <c r="AJ26" s="17">
        <f>IFERROR(H26/$F26,"")</f>
        <v/>
      </c>
      <c r="AK26" s="17">
        <f>IFERROR(I26/$F26,"")</f>
        <v/>
      </c>
      <c r="AL26" s="17">
        <f>IFERROR(J26/$F26,"")</f>
        <v/>
      </c>
      <c r="AM26" s="17">
        <f>IFERROR(I26/($F26*M26)*G26/I26,"")</f>
        <v/>
      </c>
      <c r="AN26" s="17">
        <f>IFERROR(I26/($F26*M26)*H26/I26,"")</f>
        <v/>
      </c>
      <c r="AO26" s="17">
        <f>IFERROR(I26/($F26*M26)*I26/I26,"")</f>
        <v/>
      </c>
      <c r="AP26" s="17">
        <f>IFERROR(I26/($F26*M26)*J26/I26,"")</f>
        <v/>
      </c>
    </row>
    <row r="27">
      <c r="A27" s="9" t="inlineStr">
        <is>
          <t>2026-11</t>
        </is>
      </c>
      <c r="B27" s="9" t="inlineStr">
        <is>
          <t>Store</t>
        </is>
      </c>
      <c r="C27" s="9" t="inlineStr">
        <is>
          <t>Standard</t>
        </is>
      </c>
      <c r="D27" s="9" t="inlineStr">
        <is>
          <t>HCM</t>
        </is>
      </c>
      <c r="E27" s="9" t="inlineStr">
        <is>
          <t>A015</t>
        </is>
      </c>
      <c r="F27" s="19" t="n">
        <v>30</v>
      </c>
      <c r="G27" s="20" t="n"/>
      <c r="H27" s="20" t="n"/>
      <c r="I27" s="20" t="n"/>
      <c r="J27" s="20" t="n"/>
      <c r="K27" s="21" t="n"/>
      <c r="L27" s="21" t="n"/>
      <c r="M27" s="21" t="n"/>
      <c r="N27" s="21" t="n"/>
      <c r="O27" s="14" t="n"/>
      <c r="P27" s="14" t="n"/>
      <c r="Q27" s="14" t="n"/>
      <c r="R27" s="14" t="n"/>
      <c r="S27" s="13" t="n"/>
      <c r="T27" s="13" t="n"/>
      <c r="U27" s="13" t="n"/>
      <c r="V27" s="13" t="n"/>
      <c r="W27" s="22" t="n"/>
      <c r="X27" s="22" t="n"/>
      <c r="Y27" s="22" t="n"/>
      <c r="Z27" s="22" t="n"/>
      <c r="AA27" s="16" t="n"/>
      <c r="AB27" s="16" t="n"/>
      <c r="AC27" s="16" t="n"/>
      <c r="AD27" s="16" t="n"/>
      <c r="AE27" s="14" t="n"/>
      <c r="AF27" s="14" t="n"/>
      <c r="AG27" s="14" t="n"/>
      <c r="AH27" s="14" t="n"/>
      <c r="AI27" s="17">
        <f>IFERROR(G27/$F27,"")</f>
        <v/>
      </c>
      <c r="AJ27" s="17">
        <f>IFERROR(H27/$F27,"")</f>
        <v/>
      </c>
      <c r="AK27" s="17">
        <f>IFERROR(I27/$F27,"")</f>
        <v/>
      </c>
      <c r="AL27" s="17">
        <f>IFERROR(J27/$F27,"")</f>
        <v/>
      </c>
      <c r="AM27" s="17">
        <f>IFERROR(I27/($F27*M27)*G27/I27,"")</f>
        <v/>
      </c>
      <c r="AN27" s="17">
        <f>IFERROR(I27/($F27*M27)*H27/I27,"")</f>
        <v/>
      </c>
      <c r="AO27" s="17">
        <f>IFERROR(I27/($F27*M27)*I27/I27,"")</f>
        <v/>
      </c>
      <c r="AP27" s="17">
        <f>IFERROR(I27/($F27*M27)*J27/I27,"")</f>
        <v/>
      </c>
    </row>
    <row r="28">
      <c r="A28" s="9" t="inlineStr">
        <is>
          <t>2026-11</t>
        </is>
      </c>
      <c r="B28" s="9" t="inlineStr">
        <is>
          <t>Store</t>
        </is>
      </c>
      <c r="C28" s="9" t="inlineStr">
        <is>
          <t>Standard</t>
        </is>
      </c>
      <c r="D28" s="9" t="inlineStr">
        <is>
          <t>HNI</t>
        </is>
      </c>
      <c r="E28" s="9" t="inlineStr">
        <is>
          <t>A016</t>
        </is>
      </c>
      <c r="F28" s="19" t="n">
        <v>30</v>
      </c>
      <c r="G28" s="20" t="n"/>
      <c r="H28" s="20" t="n"/>
      <c r="I28" s="20" t="n"/>
      <c r="J28" s="20" t="n"/>
      <c r="K28" s="21" t="n"/>
      <c r="L28" s="21" t="n"/>
      <c r="M28" s="21" t="n"/>
      <c r="N28" s="21" t="n"/>
      <c r="O28" s="14" t="n"/>
      <c r="P28" s="14" t="n"/>
      <c r="Q28" s="14" t="n"/>
      <c r="R28" s="14" t="n"/>
      <c r="S28" s="13" t="n"/>
      <c r="T28" s="13" t="n"/>
      <c r="U28" s="13" t="n"/>
      <c r="V28" s="13" t="n"/>
      <c r="W28" s="22" t="n"/>
      <c r="X28" s="22" t="n"/>
      <c r="Y28" s="22" t="n"/>
      <c r="Z28" s="22" t="n"/>
      <c r="AA28" s="16" t="n"/>
      <c r="AB28" s="16" t="n"/>
      <c r="AC28" s="16" t="n"/>
      <c r="AD28" s="16" t="n"/>
      <c r="AE28" s="14" t="n"/>
      <c r="AF28" s="14" t="n"/>
      <c r="AG28" s="14" t="n"/>
      <c r="AH28" s="14" t="n"/>
      <c r="AI28" s="17">
        <f>IFERROR(G28/$F28,"")</f>
        <v/>
      </c>
      <c r="AJ28" s="17">
        <f>IFERROR(H28/$F28,"")</f>
        <v/>
      </c>
      <c r="AK28" s="17">
        <f>IFERROR(I28/$F28,"")</f>
        <v/>
      </c>
      <c r="AL28" s="17">
        <f>IFERROR(J28/$F28,"")</f>
        <v/>
      </c>
      <c r="AM28" s="17">
        <f>IFERROR(I28/($F28*M28)*G28/I28,"")</f>
        <v/>
      </c>
      <c r="AN28" s="17">
        <f>IFERROR(I28/($F28*M28)*H28/I28,"")</f>
        <v/>
      </c>
      <c r="AO28" s="17">
        <f>IFERROR(I28/($F28*M28)*I28/I28,"")</f>
        <v/>
      </c>
      <c r="AP28" s="17">
        <f>IFERROR(I28/($F28*M28)*J28/I28,"")</f>
        <v/>
      </c>
    </row>
    <row r="29">
      <c r="A29" s="9" t="inlineStr">
        <is>
          <t>2026-11</t>
        </is>
      </c>
      <c r="B29" s="9" t="inlineStr">
        <is>
          <t>Store</t>
        </is>
      </c>
      <c r="C29" s="9" t="inlineStr">
        <is>
          <t>Standard</t>
        </is>
      </c>
      <c r="D29" s="9" t="inlineStr">
        <is>
          <t>HNI</t>
        </is>
      </c>
      <c r="E29" s="9" t="inlineStr">
        <is>
          <t>A017</t>
        </is>
      </c>
      <c r="F29" s="19" t="n">
        <v>30</v>
      </c>
      <c r="G29" s="20" t="n"/>
      <c r="H29" s="20" t="n"/>
      <c r="I29" s="20" t="n"/>
      <c r="J29" s="20" t="n"/>
      <c r="K29" s="21" t="n"/>
      <c r="L29" s="21" t="n"/>
      <c r="M29" s="21" t="n"/>
      <c r="N29" s="21" t="n"/>
      <c r="O29" s="14" t="n"/>
      <c r="P29" s="14" t="n"/>
      <c r="Q29" s="14" t="n"/>
      <c r="R29" s="14" t="n"/>
      <c r="S29" s="13" t="n"/>
      <c r="T29" s="13" t="n"/>
      <c r="U29" s="13" t="n"/>
      <c r="V29" s="13" t="n"/>
      <c r="W29" s="22" t="n"/>
      <c r="X29" s="22" t="n"/>
      <c r="Y29" s="22" t="n"/>
      <c r="Z29" s="22" t="n"/>
      <c r="AA29" s="16" t="n"/>
      <c r="AB29" s="16" t="n"/>
      <c r="AC29" s="16" t="n"/>
      <c r="AD29" s="16" t="n"/>
      <c r="AE29" s="14" t="n"/>
      <c r="AF29" s="14" t="n"/>
      <c r="AG29" s="14" t="n"/>
      <c r="AH29" s="14" t="n"/>
      <c r="AI29" s="17">
        <f>IFERROR(G29/$F29,"")</f>
        <v/>
      </c>
      <c r="AJ29" s="17">
        <f>IFERROR(H29/$F29,"")</f>
        <v/>
      </c>
      <c r="AK29" s="17">
        <f>IFERROR(I29/$F29,"")</f>
        <v/>
      </c>
      <c r="AL29" s="17">
        <f>IFERROR(J29/$F29,"")</f>
        <v/>
      </c>
      <c r="AM29" s="17">
        <f>IFERROR(I29/($F29*M29)*G29/I29,"")</f>
        <v/>
      </c>
      <c r="AN29" s="17">
        <f>IFERROR(I29/($F29*M29)*H29/I29,"")</f>
        <v/>
      </c>
      <c r="AO29" s="17">
        <f>IFERROR(I29/($F29*M29)*I29/I29,"")</f>
        <v/>
      </c>
      <c r="AP29" s="17">
        <f>IFERROR(I29/($F29*M29)*J29/I29,"")</f>
        <v/>
      </c>
    </row>
    <row r="30">
      <c r="A30" s="9" t="inlineStr">
        <is>
          <t>2026-11</t>
        </is>
      </c>
      <c r="B30" s="9" t="inlineStr">
        <is>
          <t>Store</t>
        </is>
      </c>
      <c r="C30" s="9" t="inlineStr">
        <is>
          <t>Mini</t>
        </is>
      </c>
      <c r="D30" s="9" t="inlineStr">
        <is>
          <t>HNI</t>
        </is>
      </c>
      <c r="E30" s="9" t="inlineStr">
        <is>
          <t>A018</t>
        </is>
      </c>
      <c r="F30" s="19" t="n">
        <v>30</v>
      </c>
      <c r="G30" s="20" t="n"/>
      <c r="H30" s="20" t="n"/>
      <c r="I30" s="20" t="n"/>
      <c r="J30" s="20" t="n"/>
      <c r="K30" s="21" t="n"/>
      <c r="L30" s="21" t="n"/>
      <c r="M30" s="21" t="n"/>
      <c r="N30" s="21" t="n"/>
      <c r="O30" s="14" t="n"/>
      <c r="P30" s="14" t="n"/>
      <c r="Q30" s="14" t="n"/>
      <c r="R30" s="14" t="n"/>
      <c r="S30" s="13" t="n"/>
      <c r="T30" s="13" t="n"/>
      <c r="U30" s="13" t="n"/>
      <c r="V30" s="13" t="n"/>
      <c r="W30" s="22" t="n"/>
      <c r="X30" s="22" t="n"/>
      <c r="Y30" s="22" t="n"/>
      <c r="Z30" s="22" t="n"/>
      <c r="AA30" s="16" t="n"/>
      <c r="AB30" s="16" t="n"/>
      <c r="AC30" s="16" t="n"/>
      <c r="AD30" s="16" t="n"/>
      <c r="AE30" s="14" t="n"/>
      <c r="AF30" s="14" t="n"/>
      <c r="AG30" s="14" t="n"/>
      <c r="AH30" s="14" t="n"/>
      <c r="AI30" s="17">
        <f>IFERROR(G30/$F30,"")</f>
        <v/>
      </c>
      <c r="AJ30" s="17">
        <f>IFERROR(H30/$F30,"")</f>
        <v/>
      </c>
      <c r="AK30" s="17">
        <f>IFERROR(I30/$F30,"")</f>
        <v/>
      </c>
      <c r="AL30" s="17">
        <f>IFERROR(J30/$F30,"")</f>
        <v/>
      </c>
      <c r="AM30" s="17">
        <f>IFERROR(I30/($F30*M30)*G30/I30,"")</f>
        <v/>
      </c>
      <c r="AN30" s="17">
        <f>IFERROR(I30/($F30*M30)*H30/I30,"")</f>
        <v/>
      </c>
      <c r="AO30" s="17">
        <f>IFERROR(I30/($F30*M30)*I30/I30,"")</f>
        <v/>
      </c>
      <c r="AP30" s="17">
        <f>IFERROR(I30/($F30*M30)*J30/I30,"")</f>
        <v/>
      </c>
    </row>
    <row r="31">
      <c r="A31" s="9" t="inlineStr">
        <is>
          <t>2026-11</t>
        </is>
      </c>
      <c r="B31" s="9" t="inlineStr">
        <is>
          <t>Store</t>
        </is>
      </c>
      <c r="C31" s="9" t="inlineStr">
        <is>
          <t>Flagship</t>
        </is>
      </c>
      <c r="D31" s="9" t="inlineStr">
        <is>
          <t>HNI</t>
        </is>
      </c>
      <c r="E31" s="9" t="inlineStr">
        <is>
          <t>A019</t>
        </is>
      </c>
      <c r="F31" s="19" t="n">
        <v>30</v>
      </c>
      <c r="G31" s="20" t="n"/>
      <c r="H31" s="20" t="n"/>
      <c r="I31" s="20" t="n"/>
      <c r="J31" s="20" t="n"/>
      <c r="K31" s="21" t="n"/>
      <c r="L31" s="21" t="n"/>
      <c r="M31" s="21" t="n"/>
      <c r="N31" s="21" t="n"/>
      <c r="O31" s="14" t="n"/>
      <c r="P31" s="14" t="n"/>
      <c r="Q31" s="14" t="n"/>
      <c r="R31" s="14" t="n"/>
      <c r="S31" s="13" t="n"/>
      <c r="T31" s="13" t="n"/>
      <c r="U31" s="13" t="n"/>
      <c r="V31" s="13" t="n"/>
      <c r="W31" s="22" t="n"/>
      <c r="X31" s="22" t="n"/>
      <c r="Y31" s="22" t="n"/>
      <c r="Z31" s="22" t="n"/>
      <c r="AA31" s="16" t="n"/>
      <c r="AB31" s="16" t="n"/>
      <c r="AC31" s="16" t="n"/>
      <c r="AD31" s="16" t="n"/>
      <c r="AE31" s="14" t="n"/>
      <c r="AF31" s="14" t="n"/>
      <c r="AG31" s="14" t="n"/>
      <c r="AH31" s="14" t="n"/>
      <c r="AI31" s="17">
        <f>IFERROR(G31/$F31,"")</f>
        <v/>
      </c>
      <c r="AJ31" s="17">
        <f>IFERROR(H31/$F31,"")</f>
        <v/>
      </c>
      <c r="AK31" s="17">
        <f>IFERROR(I31/$F31,"")</f>
        <v/>
      </c>
      <c r="AL31" s="17">
        <f>IFERROR(J31/$F31,"")</f>
        <v/>
      </c>
      <c r="AM31" s="17">
        <f>IFERROR(I31/($F31*M31)*G31/I31,"")</f>
        <v/>
      </c>
      <c r="AN31" s="17">
        <f>IFERROR(I31/($F31*M31)*H31/I31,"")</f>
        <v/>
      </c>
      <c r="AO31" s="17">
        <f>IFERROR(I31/($F31*M31)*I31/I31,"")</f>
        <v/>
      </c>
      <c r="AP31" s="17">
        <f>IFERROR(I31/($F31*M31)*J31/I31,"")</f>
        <v/>
      </c>
    </row>
    <row r="32">
      <c r="A32" s="9" t="inlineStr">
        <is>
          <t>2026-12</t>
        </is>
      </c>
      <c r="B32" s="9" t="inlineStr">
        <is>
          <t>Chain</t>
        </is>
      </c>
      <c r="C32" s="9" t="inlineStr"/>
      <c r="D32" s="9" t="inlineStr"/>
      <c r="E32" s="9" t="inlineStr"/>
      <c r="F32" s="10" t="n"/>
      <c r="G32" s="11" t="n"/>
      <c r="H32" s="11" t="n"/>
      <c r="I32" s="11" t="n"/>
      <c r="J32" s="11" t="n"/>
      <c r="K32" s="12" t="n"/>
      <c r="L32" s="12" t="n"/>
      <c r="M32" s="12" t="n"/>
      <c r="N32" s="12" t="n"/>
      <c r="O32" s="13" t="n"/>
      <c r="P32" s="13" t="n"/>
      <c r="Q32" s="13" t="n"/>
      <c r="R32" s="13" t="n"/>
      <c r="S32" s="14" t="n"/>
      <c r="T32" s="14" t="n"/>
      <c r="U32" s="14" t="n"/>
      <c r="V32" s="14" t="n"/>
      <c r="W32" s="15" t="n"/>
      <c r="X32" s="15" t="n"/>
      <c r="Y32" s="15" t="n"/>
      <c r="Z32" s="15" t="n"/>
      <c r="AA32" s="16" t="n"/>
      <c r="AB32" s="16" t="n"/>
      <c r="AC32" s="16" t="n"/>
      <c r="AD32" s="16" t="n"/>
      <c r="AE32" s="14" t="n"/>
      <c r="AF32" s="14" t="n"/>
      <c r="AG32" s="14" t="n"/>
      <c r="AH32" s="14" t="n"/>
      <c r="AI32" s="17" t="n"/>
      <c r="AJ32" s="17" t="n"/>
      <c r="AK32" s="17" t="n"/>
      <c r="AL32" s="17" t="n"/>
      <c r="AM32" s="17" t="n"/>
      <c r="AN32" s="17" t="n"/>
      <c r="AO32" s="17" t="n"/>
      <c r="AP32" s="17" t="n"/>
    </row>
    <row r="33">
      <c r="A33" s="9" t="inlineStr">
        <is>
          <t>2026-12</t>
        </is>
      </c>
      <c r="B33" s="9" t="inlineStr">
        <is>
          <t>Model</t>
        </is>
      </c>
      <c r="C33" s="9" t="inlineStr">
        <is>
          <t>Flagship</t>
        </is>
      </c>
      <c r="D33" s="9" t="inlineStr"/>
      <c r="E33" s="9" t="inlineStr"/>
      <c r="F33" s="10" t="n"/>
      <c r="G33" s="11" t="n"/>
      <c r="H33" s="11" t="n"/>
      <c r="I33" s="11" t="n"/>
      <c r="J33" s="11" t="n"/>
      <c r="K33" s="12" t="n"/>
      <c r="L33" s="12" t="n"/>
      <c r="M33" s="12" t="n"/>
      <c r="N33" s="12" t="n"/>
      <c r="O33" s="13" t="n"/>
      <c r="P33" s="13" t="n"/>
      <c r="Q33" s="13" t="n"/>
      <c r="R33" s="13" t="n"/>
      <c r="S33" s="14" t="n"/>
      <c r="T33" s="14" t="n"/>
      <c r="U33" s="14" t="n"/>
      <c r="V33" s="14" t="n"/>
      <c r="W33" s="15" t="n"/>
      <c r="X33" s="15" t="n"/>
      <c r="Y33" s="15" t="n"/>
      <c r="Z33" s="15" t="n"/>
      <c r="AA33" s="18" t="n"/>
      <c r="AB33" s="18" t="n"/>
      <c r="AC33" s="18" t="n"/>
      <c r="AD33" s="18" t="n"/>
      <c r="AE33" s="13" t="n"/>
      <c r="AF33" s="13" t="n"/>
      <c r="AG33" s="13" t="n"/>
      <c r="AH33" s="13" t="n"/>
      <c r="AI33" s="17" t="n"/>
      <c r="AJ33" s="17" t="n"/>
      <c r="AK33" s="17" t="n"/>
      <c r="AL33" s="17" t="n"/>
      <c r="AM33" s="17" t="n"/>
      <c r="AN33" s="17" t="n"/>
      <c r="AO33" s="17" t="n"/>
      <c r="AP33" s="17" t="n"/>
    </row>
    <row r="34">
      <c r="A34" s="9" t="inlineStr">
        <is>
          <t>2026-12</t>
        </is>
      </c>
      <c r="B34" s="9" t="inlineStr">
        <is>
          <t>Model</t>
        </is>
      </c>
      <c r="C34" s="9" t="inlineStr">
        <is>
          <t>Standard</t>
        </is>
      </c>
      <c r="D34" s="9" t="inlineStr"/>
      <c r="E34" s="9" t="inlineStr"/>
      <c r="F34" s="10" t="n"/>
      <c r="G34" s="11" t="n"/>
      <c r="H34" s="11" t="n"/>
      <c r="I34" s="11" t="n"/>
      <c r="J34" s="11" t="n"/>
      <c r="K34" s="12" t="n"/>
      <c r="L34" s="12" t="n"/>
      <c r="M34" s="12" t="n"/>
      <c r="N34" s="12" t="n"/>
      <c r="O34" s="13" t="n"/>
      <c r="P34" s="13" t="n"/>
      <c r="Q34" s="13" t="n"/>
      <c r="R34" s="13" t="n"/>
      <c r="S34" s="14" t="n"/>
      <c r="T34" s="14" t="n"/>
      <c r="U34" s="14" t="n"/>
      <c r="V34" s="14" t="n"/>
      <c r="W34" s="15" t="n"/>
      <c r="X34" s="15" t="n"/>
      <c r="Y34" s="15" t="n"/>
      <c r="Z34" s="15" t="n"/>
      <c r="AA34" s="18" t="n"/>
      <c r="AB34" s="18" t="n"/>
      <c r="AC34" s="18" t="n"/>
      <c r="AD34" s="18" t="n"/>
      <c r="AE34" s="13" t="n"/>
      <c r="AF34" s="13" t="n"/>
      <c r="AG34" s="13" t="n"/>
      <c r="AH34" s="13" t="n"/>
      <c r="AI34" s="17" t="n"/>
      <c r="AJ34" s="17" t="n"/>
      <c r="AK34" s="17" t="n"/>
      <c r="AL34" s="17" t="n"/>
      <c r="AM34" s="17" t="n"/>
      <c r="AN34" s="17" t="n"/>
      <c r="AO34" s="17" t="n"/>
      <c r="AP34" s="17" t="n"/>
    </row>
    <row r="35">
      <c r="A35" s="9" t="inlineStr">
        <is>
          <t>2026-12</t>
        </is>
      </c>
      <c r="B35" s="9" t="inlineStr">
        <is>
          <t>Model</t>
        </is>
      </c>
      <c r="C35" s="9" t="inlineStr">
        <is>
          <t>Mini</t>
        </is>
      </c>
      <c r="D35" s="9" t="inlineStr"/>
      <c r="E35" s="9" t="inlineStr"/>
      <c r="F35" s="10" t="n"/>
      <c r="G35" s="11" t="n"/>
      <c r="H35" s="11" t="n"/>
      <c r="I35" s="11" t="n"/>
      <c r="J35" s="11" t="n"/>
      <c r="K35" s="12" t="n"/>
      <c r="L35" s="12" t="n"/>
      <c r="M35" s="12" t="n"/>
      <c r="N35" s="12" t="n"/>
      <c r="O35" s="13" t="n"/>
      <c r="P35" s="13" t="n"/>
      <c r="Q35" s="13" t="n"/>
      <c r="R35" s="13" t="n"/>
      <c r="S35" s="14" t="n"/>
      <c r="T35" s="14" t="n"/>
      <c r="U35" s="14" t="n"/>
      <c r="V35" s="14" t="n"/>
      <c r="W35" s="15" t="n"/>
      <c r="X35" s="15" t="n"/>
      <c r="Y35" s="15" t="n"/>
      <c r="Z35" s="15" t="n"/>
      <c r="AA35" s="18" t="n"/>
      <c r="AB35" s="18" t="n"/>
      <c r="AC35" s="18" t="n"/>
      <c r="AD35" s="18" t="n"/>
      <c r="AE35" s="13" t="n"/>
      <c r="AF35" s="13" t="n"/>
      <c r="AG35" s="13" t="n"/>
      <c r="AH35" s="13" t="n"/>
      <c r="AI35" s="17" t="n"/>
      <c r="AJ35" s="17" t="n"/>
      <c r="AK35" s="17" t="n"/>
      <c r="AL35" s="17" t="n"/>
      <c r="AM35" s="17" t="n"/>
      <c r="AN35" s="17" t="n"/>
      <c r="AO35" s="17" t="n"/>
      <c r="AP35" s="17" t="n"/>
    </row>
    <row r="36">
      <c r="A36" s="9" t="inlineStr">
        <is>
          <t>2026-12</t>
        </is>
      </c>
      <c r="B36" s="9" t="inlineStr">
        <is>
          <t>Store</t>
        </is>
      </c>
      <c r="C36" s="9" t="inlineStr">
        <is>
          <t>Flagship</t>
        </is>
      </c>
      <c r="D36" s="9" t="inlineStr">
        <is>
          <t>HCM</t>
        </is>
      </c>
      <c r="E36" s="9" t="inlineStr">
        <is>
          <t>A010</t>
        </is>
      </c>
      <c r="F36" s="19" t="n">
        <v>31</v>
      </c>
      <c r="G36" s="20" t="n"/>
      <c r="H36" s="20" t="n"/>
      <c r="I36" s="20" t="n"/>
      <c r="J36" s="20" t="n"/>
      <c r="K36" s="21" t="n"/>
      <c r="L36" s="21" t="n"/>
      <c r="M36" s="21" t="n"/>
      <c r="N36" s="21" t="n"/>
      <c r="O36" s="14" t="n"/>
      <c r="P36" s="14" t="n"/>
      <c r="Q36" s="14" t="n"/>
      <c r="R36" s="14" t="n"/>
      <c r="S36" s="13" t="n"/>
      <c r="T36" s="13" t="n"/>
      <c r="U36" s="13" t="n"/>
      <c r="V36" s="13" t="n"/>
      <c r="W36" s="22" t="n"/>
      <c r="X36" s="22" t="n"/>
      <c r="Y36" s="22" t="n"/>
      <c r="Z36" s="22" t="n"/>
      <c r="AA36" s="16" t="n"/>
      <c r="AB36" s="16" t="n"/>
      <c r="AC36" s="16" t="n"/>
      <c r="AD36" s="16" t="n"/>
      <c r="AE36" s="14" t="n"/>
      <c r="AF36" s="14" t="n"/>
      <c r="AG36" s="14" t="n"/>
      <c r="AH36" s="14" t="n"/>
      <c r="AI36" s="17">
        <f>IFERROR(G36/$F36,"")</f>
        <v/>
      </c>
      <c r="AJ36" s="17">
        <f>IFERROR(H36/$F36,"")</f>
        <v/>
      </c>
      <c r="AK36" s="17">
        <f>IFERROR(I36/$F36,"")</f>
        <v/>
      </c>
      <c r="AL36" s="17">
        <f>IFERROR(J36/$F36,"")</f>
        <v/>
      </c>
      <c r="AM36" s="17">
        <f>IFERROR(I36/($F36*M36)*G36/I36,"")</f>
        <v/>
      </c>
      <c r="AN36" s="17">
        <f>IFERROR(I36/($F36*M36)*H36/I36,"")</f>
        <v/>
      </c>
      <c r="AO36" s="17">
        <f>IFERROR(I36/($F36*M36)*I36/I36,"")</f>
        <v/>
      </c>
      <c r="AP36" s="17">
        <f>IFERROR(I36/($F36*M36)*J36/I36,"")</f>
        <v/>
      </c>
    </row>
    <row r="37">
      <c r="A37" s="9" t="inlineStr">
        <is>
          <t>2026-12</t>
        </is>
      </c>
      <c r="B37" s="9" t="inlineStr">
        <is>
          <t>Store</t>
        </is>
      </c>
      <c r="C37" s="9" t="inlineStr">
        <is>
          <t>Standard</t>
        </is>
      </c>
      <c r="D37" s="9" t="inlineStr">
        <is>
          <t>HCM</t>
        </is>
      </c>
      <c r="E37" s="9" t="inlineStr">
        <is>
          <t>A011</t>
        </is>
      </c>
      <c r="F37" s="19" t="n">
        <v>31</v>
      </c>
      <c r="G37" s="20" t="n"/>
      <c r="H37" s="20" t="n"/>
      <c r="I37" s="20" t="n"/>
      <c r="J37" s="20" t="n"/>
      <c r="K37" s="21" t="n"/>
      <c r="L37" s="21" t="n"/>
      <c r="M37" s="21" t="n"/>
      <c r="N37" s="21" t="n"/>
      <c r="O37" s="14" t="n"/>
      <c r="P37" s="14" t="n"/>
      <c r="Q37" s="14" t="n"/>
      <c r="R37" s="14" t="n"/>
      <c r="S37" s="13" t="n"/>
      <c r="T37" s="13" t="n"/>
      <c r="U37" s="13" t="n"/>
      <c r="V37" s="13" t="n"/>
      <c r="W37" s="22" t="n"/>
      <c r="X37" s="22" t="n"/>
      <c r="Y37" s="22" t="n"/>
      <c r="Z37" s="22" t="n"/>
      <c r="AA37" s="16" t="n"/>
      <c r="AB37" s="16" t="n"/>
      <c r="AC37" s="16" t="n"/>
      <c r="AD37" s="16" t="n"/>
      <c r="AE37" s="14" t="n"/>
      <c r="AF37" s="14" t="n"/>
      <c r="AG37" s="14" t="n"/>
      <c r="AH37" s="14" t="n"/>
      <c r="AI37" s="17">
        <f>IFERROR(G37/$F37,"")</f>
        <v/>
      </c>
      <c r="AJ37" s="17">
        <f>IFERROR(H37/$F37,"")</f>
        <v/>
      </c>
      <c r="AK37" s="17">
        <f>IFERROR(I37/$F37,"")</f>
        <v/>
      </c>
      <c r="AL37" s="17">
        <f>IFERROR(J37/$F37,"")</f>
        <v/>
      </c>
      <c r="AM37" s="17">
        <f>IFERROR(I37/($F37*M37)*G37/I37,"")</f>
        <v/>
      </c>
      <c r="AN37" s="17">
        <f>IFERROR(I37/($F37*M37)*H37/I37,"")</f>
        <v/>
      </c>
      <c r="AO37" s="17">
        <f>IFERROR(I37/($F37*M37)*I37/I37,"")</f>
        <v/>
      </c>
      <c r="AP37" s="17">
        <f>IFERROR(I37/($F37*M37)*J37/I37,"")</f>
        <v/>
      </c>
    </row>
    <row r="38">
      <c r="A38" s="9" t="inlineStr">
        <is>
          <t>2026-12</t>
        </is>
      </c>
      <c r="B38" s="9" t="inlineStr">
        <is>
          <t>Store</t>
        </is>
      </c>
      <c r="C38" s="9" t="inlineStr">
        <is>
          <t>Standard</t>
        </is>
      </c>
      <c r="D38" s="9" t="inlineStr">
        <is>
          <t>HCM</t>
        </is>
      </c>
      <c r="E38" s="9" t="inlineStr">
        <is>
          <t>A012</t>
        </is>
      </c>
      <c r="F38" s="19" t="n">
        <v>31</v>
      </c>
      <c r="G38" s="20" t="n"/>
      <c r="H38" s="20" t="n"/>
      <c r="I38" s="20" t="n"/>
      <c r="J38" s="20" t="n"/>
      <c r="K38" s="21" t="n"/>
      <c r="L38" s="21" t="n"/>
      <c r="M38" s="21" t="n"/>
      <c r="N38" s="21" t="n"/>
      <c r="O38" s="14" t="n"/>
      <c r="P38" s="14" t="n"/>
      <c r="Q38" s="14" t="n"/>
      <c r="R38" s="14" t="n"/>
      <c r="S38" s="13" t="n"/>
      <c r="T38" s="13" t="n"/>
      <c r="U38" s="13" t="n"/>
      <c r="V38" s="13" t="n"/>
      <c r="W38" s="22" t="n"/>
      <c r="X38" s="22" t="n"/>
      <c r="Y38" s="22" t="n"/>
      <c r="Z38" s="22" t="n"/>
      <c r="AA38" s="16" t="n"/>
      <c r="AB38" s="16" t="n"/>
      <c r="AC38" s="16" t="n"/>
      <c r="AD38" s="16" t="n"/>
      <c r="AE38" s="14" t="n"/>
      <c r="AF38" s="14" t="n"/>
      <c r="AG38" s="14" t="n"/>
      <c r="AH38" s="14" t="n"/>
      <c r="AI38" s="17">
        <f>IFERROR(G38/$F38,"")</f>
        <v/>
      </c>
      <c r="AJ38" s="17">
        <f>IFERROR(H38/$F38,"")</f>
        <v/>
      </c>
      <c r="AK38" s="17">
        <f>IFERROR(I38/$F38,"")</f>
        <v/>
      </c>
      <c r="AL38" s="17">
        <f>IFERROR(J38/$F38,"")</f>
        <v/>
      </c>
      <c r="AM38" s="17">
        <f>IFERROR(I38/($F38*M38)*G38/I38,"")</f>
        <v/>
      </c>
      <c r="AN38" s="17">
        <f>IFERROR(I38/($F38*M38)*H38/I38,"")</f>
        <v/>
      </c>
      <c r="AO38" s="17">
        <f>IFERROR(I38/($F38*M38)*I38/I38,"")</f>
        <v/>
      </c>
      <c r="AP38" s="17">
        <f>IFERROR(I38/($F38*M38)*J38/I38,"")</f>
        <v/>
      </c>
    </row>
    <row r="39">
      <c r="A39" s="9" t="inlineStr">
        <is>
          <t>2026-12</t>
        </is>
      </c>
      <c r="B39" s="9" t="inlineStr">
        <is>
          <t>Store</t>
        </is>
      </c>
      <c r="C39" s="9" t="inlineStr">
        <is>
          <t>Mini</t>
        </is>
      </c>
      <c r="D39" s="9" t="inlineStr">
        <is>
          <t>HCM</t>
        </is>
      </c>
      <c r="E39" s="9" t="inlineStr">
        <is>
          <t>A013</t>
        </is>
      </c>
      <c r="F39" s="19" t="n">
        <v>31</v>
      </c>
      <c r="G39" s="20" t="n"/>
      <c r="H39" s="20" t="n"/>
      <c r="I39" s="20" t="n"/>
      <c r="J39" s="20" t="n"/>
      <c r="K39" s="21" t="n"/>
      <c r="L39" s="21" t="n"/>
      <c r="M39" s="21" t="n"/>
      <c r="N39" s="21" t="n"/>
      <c r="O39" s="14" t="n"/>
      <c r="P39" s="14" t="n"/>
      <c r="Q39" s="14" t="n"/>
      <c r="R39" s="14" t="n"/>
      <c r="S39" s="13" t="n"/>
      <c r="T39" s="13" t="n"/>
      <c r="U39" s="13" t="n"/>
      <c r="V39" s="13" t="n"/>
      <c r="W39" s="22" t="n"/>
      <c r="X39" s="22" t="n"/>
      <c r="Y39" s="22" t="n"/>
      <c r="Z39" s="22" t="n"/>
      <c r="AA39" s="16" t="n"/>
      <c r="AB39" s="16" t="n"/>
      <c r="AC39" s="16" t="n"/>
      <c r="AD39" s="16" t="n"/>
      <c r="AE39" s="14" t="n"/>
      <c r="AF39" s="14" t="n"/>
      <c r="AG39" s="14" t="n"/>
      <c r="AH39" s="14" t="n"/>
      <c r="AI39" s="17">
        <f>IFERROR(G39/$F39,"")</f>
        <v/>
      </c>
      <c r="AJ39" s="17">
        <f>IFERROR(H39/$F39,"")</f>
        <v/>
      </c>
      <c r="AK39" s="17">
        <f>IFERROR(I39/$F39,"")</f>
        <v/>
      </c>
      <c r="AL39" s="17">
        <f>IFERROR(J39/$F39,"")</f>
        <v/>
      </c>
      <c r="AM39" s="17">
        <f>IFERROR(I39/($F39*M39)*G39/I39,"")</f>
        <v/>
      </c>
      <c r="AN39" s="17">
        <f>IFERROR(I39/($F39*M39)*H39/I39,"")</f>
        <v/>
      </c>
      <c r="AO39" s="17">
        <f>IFERROR(I39/($F39*M39)*I39/I39,"")</f>
        <v/>
      </c>
      <c r="AP39" s="17">
        <f>IFERROR(I39/($F39*M39)*J39/I39,"")</f>
        <v/>
      </c>
    </row>
    <row r="40">
      <c r="A40" s="9" t="inlineStr">
        <is>
          <t>2026-12</t>
        </is>
      </c>
      <c r="B40" s="9" t="inlineStr">
        <is>
          <t>Store</t>
        </is>
      </c>
      <c r="C40" s="9" t="inlineStr">
        <is>
          <t>Mini</t>
        </is>
      </c>
      <c r="D40" s="9" t="inlineStr">
        <is>
          <t>HCM</t>
        </is>
      </c>
      <c r="E40" s="9" t="inlineStr">
        <is>
          <t>A014</t>
        </is>
      </c>
      <c r="F40" s="19" t="n">
        <v>31</v>
      </c>
      <c r="G40" s="20" t="n"/>
      <c r="H40" s="20" t="n"/>
      <c r="I40" s="20" t="n"/>
      <c r="J40" s="20" t="n"/>
      <c r="K40" s="21" t="n"/>
      <c r="L40" s="21" t="n"/>
      <c r="M40" s="21" t="n"/>
      <c r="N40" s="21" t="n"/>
      <c r="O40" s="14" t="n"/>
      <c r="P40" s="14" t="n"/>
      <c r="Q40" s="14" t="n"/>
      <c r="R40" s="14" t="n"/>
      <c r="S40" s="13" t="n"/>
      <c r="T40" s="13" t="n"/>
      <c r="U40" s="13" t="n"/>
      <c r="V40" s="13" t="n"/>
      <c r="W40" s="22" t="n"/>
      <c r="X40" s="22" t="n"/>
      <c r="Y40" s="22" t="n"/>
      <c r="Z40" s="22" t="n"/>
      <c r="AA40" s="16" t="n"/>
      <c r="AB40" s="16" t="n"/>
      <c r="AC40" s="16" t="n"/>
      <c r="AD40" s="16" t="n"/>
      <c r="AE40" s="14" t="n"/>
      <c r="AF40" s="14" t="n"/>
      <c r="AG40" s="14" t="n"/>
      <c r="AH40" s="14" t="n"/>
      <c r="AI40" s="17">
        <f>IFERROR(G40/$F40,"")</f>
        <v/>
      </c>
      <c r="AJ40" s="17">
        <f>IFERROR(H40/$F40,"")</f>
        <v/>
      </c>
      <c r="AK40" s="17">
        <f>IFERROR(I40/$F40,"")</f>
        <v/>
      </c>
      <c r="AL40" s="17">
        <f>IFERROR(J40/$F40,"")</f>
        <v/>
      </c>
      <c r="AM40" s="17">
        <f>IFERROR(I40/($F40*M40)*G40/I40,"")</f>
        <v/>
      </c>
      <c r="AN40" s="17">
        <f>IFERROR(I40/($F40*M40)*H40/I40,"")</f>
        <v/>
      </c>
      <c r="AO40" s="17">
        <f>IFERROR(I40/($F40*M40)*I40/I40,"")</f>
        <v/>
      </c>
      <c r="AP40" s="17">
        <f>IFERROR(I40/($F40*M40)*J40/I40,"")</f>
        <v/>
      </c>
    </row>
    <row r="41">
      <c r="A41" s="9" t="inlineStr">
        <is>
          <t>2026-12</t>
        </is>
      </c>
      <c r="B41" s="9" t="inlineStr">
        <is>
          <t>Store</t>
        </is>
      </c>
      <c r="C41" s="9" t="inlineStr">
        <is>
          <t>Standard</t>
        </is>
      </c>
      <c r="D41" s="9" t="inlineStr">
        <is>
          <t>HCM</t>
        </is>
      </c>
      <c r="E41" s="9" t="inlineStr">
        <is>
          <t>A015</t>
        </is>
      </c>
      <c r="F41" s="19" t="n">
        <v>31</v>
      </c>
      <c r="G41" s="20" t="n"/>
      <c r="H41" s="20" t="n"/>
      <c r="I41" s="20" t="n"/>
      <c r="J41" s="20" t="n"/>
      <c r="K41" s="21" t="n"/>
      <c r="L41" s="21" t="n"/>
      <c r="M41" s="21" t="n"/>
      <c r="N41" s="21" t="n"/>
      <c r="O41" s="14" t="n"/>
      <c r="P41" s="14" t="n"/>
      <c r="Q41" s="14" t="n"/>
      <c r="R41" s="14" t="n"/>
      <c r="S41" s="13" t="n"/>
      <c r="T41" s="13" t="n"/>
      <c r="U41" s="13" t="n"/>
      <c r="V41" s="13" t="n"/>
      <c r="W41" s="22" t="n"/>
      <c r="X41" s="22" t="n"/>
      <c r="Y41" s="22" t="n"/>
      <c r="Z41" s="22" t="n"/>
      <c r="AA41" s="16" t="n"/>
      <c r="AB41" s="16" t="n"/>
      <c r="AC41" s="16" t="n"/>
      <c r="AD41" s="16" t="n"/>
      <c r="AE41" s="14" t="n"/>
      <c r="AF41" s="14" t="n"/>
      <c r="AG41" s="14" t="n"/>
      <c r="AH41" s="14" t="n"/>
      <c r="AI41" s="17">
        <f>IFERROR(G41/$F41,"")</f>
        <v/>
      </c>
      <c r="AJ41" s="17">
        <f>IFERROR(H41/$F41,"")</f>
        <v/>
      </c>
      <c r="AK41" s="17">
        <f>IFERROR(I41/$F41,"")</f>
        <v/>
      </c>
      <c r="AL41" s="17">
        <f>IFERROR(J41/$F41,"")</f>
        <v/>
      </c>
      <c r="AM41" s="17">
        <f>IFERROR(I41/($F41*M41)*G41/I41,"")</f>
        <v/>
      </c>
      <c r="AN41" s="17">
        <f>IFERROR(I41/($F41*M41)*H41/I41,"")</f>
        <v/>
      </c>
      <c r="AO41" s="17">
        <f>IFERROR(I41/($F41*M41)*I41/I41,"")</f>
        <v/>
      </c>
      <c r="AP41" s="17">
        <f>IFERROR(I41/($F41*M41)*J41/I41,"")</f>
        <v/>
      </c>
    </row>
    <row r="42">
      <c r="A42" s="9" t="inlineStr">
        <is>
          <t>2026-12</t>
        </is>
      </c>
      <c r="B42" s="9" t="inlineStr">
        <is>
          <t>Store</t>
        </is>
      </c>
      <c r="C42" s="9" t="inlineStr">
        <is>
          <t>Standard</t>
        </is>
      </c>
      <c r="D42" s="9" t="inlineStr">
        <is>
          <t>HNI</t>
        </is>
      </c>
      <c r="E42" s="9" t="inlineStr">
        <is>
          <t>A016</t>
        </is>
      </c>
      <c r="F42" s="19" t="n">
        <v>31</v>
      </c>
      <c r="G42" s="20" t="n"/>
      <c r="H42" s="20" t="n"/>
      <c r="I42" s="20" t="n"/>
      <c r="J42" s="20" t="n"/>
      <c r="K42" s="21" t="n"/>
      <c r="L42" s="21" t="n"/>
      <c r="M42" s="21" t="n"/>
      <c r="N42" s="21" t="n"/>
      <c r="O42" s="14" t="n"/>
      <c r="P42" s="14" t="n"/>
      <c r="Q42" s="14" t="n"/>
      <c r="R42" s="14" t="n"/>
      <c r="S42" s="13" t="n"/>
      <c r="T42" s="13" t="n"/>
      <c r="U42" s="13" t="n"/>
      <c r="V42" s="13" t="n"/>
      <c r="W42" s="22" t="n"/>
      <c r="X42" s="22" t="n"/>
      <c r="Y42" s="22" t="n"/>
      <c r="Z42" s="22" t="n"/>
      <c r="AA42" s="16" t="n"/>
      <c r="AB42" s="16" t="n"/>
      <c r="AC42" s="16" t="n"/>
      <c r="AD42" s="16" t="n"/>
      <c r="AE42" s="14" t="n"/>
      <c r="AF42" s="14" t="n"/>
      <c r="AG42" s="14" t="n"/>
      <c r="AH42" s="14" t="n"/>
      <c r="AI42" s="17">
        <f>IFERROR(G42/$F42,"")</f>
        <v/>
      </c>
      <c r="AJ42" s="17">
        <f>IFERROR(H42/$F42,"")</f>
        <v/>
      </c>
      <c r="AK42" s="17">
        <f>IFERROR(I42/$F42,"")</f>
        <v/>
      </c>
      <c r="AL42" s="17">
        <f>IFERROR(J42/$F42,"")</f>
        <v/>
      </c>
      <c r="AM42" s="17">
        <f>IFERROR(I42/($F42*M42)*G42/I42,"")</f>
        <v/>
      </c>
      <c r="AN42" s="17">
        <f>IFERROR(I42/($F42*M42)*H42/I42,"")</f>
        <v/>
      </c>
      <c r="AO42" s="17">
        <f>IFERROR(I42/($F42*M42)*I42/I42,"")</f>
        <v/>
      </c>
      <c r="AP42" s="17">
        <f>IFERROR(I42/($F42*M42)*J42/I42,"")</f>
        <v/>
      </c>
    </row>
    <row r="43">
      <c r="A43" s="9" t="inlineStr">
        <is>
          <t>2026-12</t>
        </is>
      </c>
      <c r="B43" s="9" t="inlineStr">
        <is>
          <t>Store</t>
        </is>
      </c>
      <c r="C43" s="9" t="inlineStr">
        <is>
          <t>Standard</t>
        </is>
      </c>
      <c r="D43" s="9" t="inlineStr">
        <is>
          <t>HNI</t>
        </is>
      </c>
      <c r="E43" s="9" t="inlineStr">
        <is>
          <t>A017</t>
        </is>
      </c>
      <c r="F43" s="19" t="n">
        <v>31</v>
      </c>
      <c r="G43" s="20" t="n"/>
      <c r="H43" s="20" t="n"/>
      <c r="I43" s="20" t="n"/>
      <c r="J43" s="20" t="n"/>
      <c r="K43" s="21" t="n"/>
      <c r="L43" s="21" t="n"/>
      <c r="M43" s="21" t="n"/>
      <c r="N43" s="21" t="n"/>
      <c r="O43" s="14" t="n"/>
      <c r="P43" s="14" t="n"/>
      <c r="Q43" s="14" t="n"/>
      <c r="R43" s="14" t="n"/>
      <c r="S43" s="13" t="n"/>
      <c r="T43" s="13" t="n"/>
      <c r="U43" s="13" t="n"/>
      <c r="V43" s="13" t="n"/>
      <c r="W43" s="22" t="n"/>
      <c r="X43" s="22" t="n"/>
      <c r="Y43" s="22" t="n"/>
      <c r="Z43" s="22" t="n"/>
      <c r="AA43" s="16" t="n"/>
      <c r="AB43" s="16" t="n"/>
      <c r="AC43" s="16" t="n"/>
      <c r="AD43" s="16" t="n"/>
      <c r="AE43" s="14" t="n"/>
      <c r="AF43" s="14" t="n"/>
      <c r="AG43" s="14" t="n"/>
      <c r="AH43" s="14" t="n"/>
      <c r="AI43" s="17">
        <f>IFERROR(G43/$F43,"")</f>
        <v/>
      </c>
      <c r="AJ43" s="17">
        <f>IFERROR(H43/$F43,"")</f>
        <v/>
      </c>
      <c r="AK43" s="17">
        <f>IFERROR(I43/$F43,"")</f>
        <v/>
      </c>
      <c r="AL43" s="17">
        <f>IFERROR(J43/$F43,"")</f>
        <v/>
      </c>
      <c r="AM43" s="17">
        <f>IFERROR(I43/($F43*M43)*G43/I43,"")</f>
        <v/>
      </c>
      <c r="AN43" s="17">
        <f>IFERROR(I43/($F43*M43)*H43/I43,"")</f>
        <v/>
      </c>
      <c r="AO43" s="17">
        <f>IFERROR(I43/($F43*M43)*I43/I43,"")</f>
        <v/>
      </c>
      <c r="AP43" s="17">
        <f>IFERROR(I43/($F43*M43)*J43/I43,"")</f>
        <v/>
      </c>
    </row>
    <row r="44">
      <c r="A44" s="9" t="inlineStr">
        <is>
          <t>2026-12</t>
        </is>
      </c>
      <c r="B44" s="9" t="inlineStr">
        <is>
          <t>Store</t>
        </is>
      </c>
      <c r="C44" s="9" t="inlineStr">
        <is>
          <t>Mini</t>
        </is>
      </c>
      <c r="D44" s="9" t="inlineStr">
        <is>
          <t>HNI</t>
        </is>
      </c>
      <c r="E44" s="9" t="inlineStr">
        <is>
          <t>A018</t>
        </is>
      </c>
      <c r="F44" s="19" t="n">
        <v>31</v>
      </c>
      <c r="G44" s="20" t="n"/>
      <c r="H44" s="20" t="n"/>
      <c r="I44" s="20" t="n"/>
      <c r="J44" s="20" t="n"/>
      <c r="K44" s="21" t="n"/>
      <c r="L44" s="21" t="n"/>
      <c r="M44" s="21" t="n"/>
      <c r="N44" s="21" t="n"/>
      <c r="O44" s="14" t="n"/>
      <c r="P44" s="14" t="n"/>
      <c r="Q44" s="14" t="n"/>
      <c r="R44" s="14" t="n"/>
      <c r="S44" s="13" t="n"/>
      <c r="T44" s="13" t="n"/>
      <c r="U44" s="13" t="n"/>
      <c r="V44" s="13" t="n"/>
      <c r="W44" s="22" t="n"/>
      <c r="X44" s="22" t="n"/>
      <c r="Y44" s="22" t="n"/>
      <c r="Z44" s="22" t="n"/>
      <c r="AA44" s="16" t="n"/>
      <c r="AB44" s="16" t="n"/>
      <c r="AC44" s="16" t="n"/>
      <c r="AD44" s="16" t="n"/>
      <c r="AE44" s="14" t="n"/>
      <c r="AF44" s="14" t="n"/>
      <c r="AG44" s="14" t="n"/>
      <c r="AH44" s="14" t="n"/>
      <c r="AI44" s="17">
        <f>IFERROR(G44/$F44,"")</f>
        <v/>
      </c>
      <c r="AJ44" s="17">
        <f>IFERROR(H44/$F44,"")</f>
        <v/>
      </c>
      <c r="AK44" s="17">
        <f>IFERROR(I44/$F44,"")</f>
        <v/>
      </c>
      <c r="AL44" s="17">
        <f>IFERROR(J44/$F44,"")</f>
        <v/>
      </c>
      <c r="AM44" s="17">
        <f>IFERROR(I44/($F44*M44)*G44/I44,"")</f>
        <v/>
      </c>
      <c r="AN44" s="17">
        <f>IFERROR(I44/($F44*M44)*H44/I44,"")</f>
        <v/>
      </c>
      <c r="AO44" s="17">
        <f>IFERROR(I44/($F44*M44)*I44/I44,"")</f>
        <v/>
      </c>
      <c r="AP44" s="17">
        <f>IFERROR(I44/($F44*M44)*J44/I44,"")</f>
        <v/>
      </c>
    </row>
    <row r="45">
      <c r="A45" s="9" t="inlineStr">
        <is>
          <t>2026-12</t>
        </is>
      </c>
      <c r="B45" s="9" t="inlineStr">
        <is>
          <t>Store</t>
        </is>
      </c>
      <c r="C45" s="9" t="inlineStr">
        <is>
          <t>Flagship</t>
        </is>
      </c>
      <c r="D45" s="9" t="inlineStr">
        <is>
          <t>HNI</t>
        </is>
      </c>
      <c r="E45" s="9" t="inlineStr">
        <is>
          <t>A019</t>
        </is>
      </c>
      <c r="F45" s="19" t="n">
        <v>31</v>
      </c>
      <c r="G45" s="20" t="n"/>
      <c r="H45" s="20" t="n"/>
      <c r="I45" s="20" t="n"/>
      <c r="J45" s="20" t="n"/>
      <c r="K45" s="21" t="n"/>
      <c r="L45" s="21" t="n"/>
      <c r="M45" s="21" t="n"/>
      <c r="N45" s="21" t="n"/>
      <c r="O45" s="14" t="n"/>
      <c r="P45" s="14" t="n"/>
      <c r="Q45" s="14" t="n"/>
      <c r="R45" s="14" t="n"/>
      <c r="S45" s="13" t="n"/>
      <c r="T45" s="13" t="n"/>
      <c r="U45" s="13" t="n"/>
      <c r="V45" s="13" t="n"/>
      <c r="W45" s="22" t="n"/>
      <c r="X45" s="22" t="n"/>
      <c r="Y45" s="22" t="n"/>
      <c r="Z45" s="22" t="n"/>
      <c r="AA45" s="16" t="n"/>
      <c r="AB45" s="16" t="n"/>
      <c r="AC45" s="16" t="n"/>
      <c r="AD45" s="16" t="n"/>
      <c r="AE45" s="14" t="n"/>
      <c r="AF45" s="14" t="n"/>
      <c r="AG45" s="14" t="n"/>
      <c r="AH45" s="14" t="n"/>
      <c r="AI45" s="17">
        <f>IFERROR(G45/$F45,"")</f>
        <v/>
      </c>
      <c r="AJ45" s="17">
        <f>IFERROR(H45/$F45,"")</f>
        <v/>
      </c>
      <c r="AK45" s="17">
        <f>IFERROR(I45/$F45,"")</f>
        <v/>
      </c>
      <c r="AL45" s="17">
        <f>IFERROR(J45/$F45,"")</f>
        <v/>
      </c>
      <c r="AM45" s="17">
        <f>IFERROR(I45/($F45*M45)*G45/I45,"")</f>
        <v/>
      </c>
      <c r="AN45" s="17">
        <f>IFERROR(I45/($F45*M45)*H45/I45,"")</f>
        <v/>
      </c>
      <c r="AO45" s="17">
        <f>IFERROR(I45/($F45*M45)*I45/I45,"")</f>
        <v/>
      </c>
      <c r="AP45" s="17">
        <f>IFERROR(I45/($F45*M45)*J45/I45,"")</f>
        <v/>
      </c>
    </row>
  </sheetData>
  <autoFilter ref="A3:AP45"/>
  <mergeCells count="15">
    <mergeCell ref="AE2:AH2"/>
    <mergeCell ref="S2:V2"/>
    <mergeCell ref="D2:D3"/>
    <mergeCell ref="W2:Z2"/>
    <mergeCell ref="AM2:AP2"/>
    <mergeCell ref="G2:J2"/>
    <mergeCell ref="B2:B3"/>
    <mergeCell ref="A2:A3"/>
    <mergeCell ref="K2:N2"/>
    <mergeCell ref="C2:C3"/>
    <mergeCell ref="O2:R2"/>
    <mergeCell ref="F2:F3"/>
    <mergeCell ref="E2:E3"/>
    <mergeCell ref="AA2:AD2"/>
    <mergeCell ref="AI2:AL2"/>
  </mergeCells>
  <conditionalFormatting sqref="G4:J45">
    <cfRule type="expression" priority="1" dxfId="0">
      <formula>AND(COUNTA($G4:$J4)&gt;0,OR(COUNTA($G4:$J4)&lt;&gt;COUNT($G4:$J4),COUNT($G4:$J4)&lt;4,MIN($G4:$J4)&lt;0,NOT(AND($G4&lt;=$H4,$H4&lt;=$I4,$I4&lt;=$J4))))</formula>
    </cfRule>
  </conditionalFormatting>
  <conditionalFormatting sqref="K4:N45">
    <cfRule type="expression" priority="2" dxfId="0">
      <formula>AND(COUNTA($K4:$N4)&gt;0,OR(COUNTA($K4:$N4)&lt;&gt;COUNT($K4:$N4),COUNT($K4:$N4)&lt;4,MIN($K4:$N4)&lt;0,NOT(AND($K4&lt;=$L4,$L4&lt;=$M4,$M4&lt;=$N4))))</formula>
    </cfRule>
  </conditionalFormatting>
  <conditionalFormatting sqref="O4:R45">
    <cfRule type="expression" priority="3" dxfId="0">
      <formula>AND(COUNTA($O4:$R4)&gt;0,OR(COUNTA($O4:$R4)&lt;&gt;COUNT($O4:$R4),COUNT($O4:$R4)&lt;4,MIN($O4:$R4)&lt;0,NOT(AND($O4&lt;=$P4,$P4&lt;=$Q4,$Q4&lt;=$R4)),MAX($O4:$R4)&gt;1))</formula>
    </cfRule>
  </conditionalFormatting>
  <conditionalFormatting sqref="S4:V45">
    <cfRule type="expression" priority="4" dxfId="0">
      <formula>AND(COUNTA($S4:$V4)&gt;0,OR(COUNTA($S4:$V4)&lt;&gt;COUNT($S4:$V4),COUNT($S4:$V4)&lt;4,MIN($S4:$V4)&lt;0,NOT(AND($S4&lt;=$T4,$T4&lt;=$U4,$U4&lt;=$V4)),MAX($S4:$V4)&gt;1))</formula>
    </cfRule>
  </conditionalFormatting>
  <conditionalFormatting sqref="W4:Z45">
    <cfRule type="expression" priority="5" dxfId="0">
      <formula>AND(COUNTA($W4:$Z4)&gt;0,OR(COUNTA($W4:$Z4)&lt;&gt;COUNT($W4:$Z4),COUNT($W4:$Z4)&lt;4,MIN($W4:$Z4)&lt;0,NOT(AND($W4&gt;=$X4,$X4&gt;=$Y4,$Y4&gt;=$Z4))))</formula>
    </cfRule>
  </conditionalFormatting>
  <conditionalFormatting sqref="AA4:AD45">
    <cfRule type="expression" priority="6" dxfId="0">
      <formula>AND(COUNTA($AA4:$AD4)&gt;0,OR(COUNTA($AA4:$AD4)&lt;&gt;COUNT($AA4:$AD4),COUNT($AA4:$AD4)&lt;4,MIN($AA4:$AD4)&lt;0,NOT(AND($AA4&lt;=$AB4,$AB4&lt;=$AC4,$AC4&lt;=$AD4))))</formula>
    </cfRule>
  </conditionalFormatting>
  <conditionalFormatting sqref="AE4:AH45">
    <cfRule type="expression" priority="7" dxfId="0">
      <formula>AND(COUNTA($AE4:$AH4)&gt;0,OR(COUNTA($AE4:$AH4)&lt;&gt;COUNT($AE4:$AH4),COUNT($AE4:$AH4)&lt;4,MIN($AE4:$AH4)&lt;0,NOT(AND($AE4&lt;=$AF4,$AF4&lt;=$AG4,$AG4&lt;=$AH4)),MAX($AE4:$AH4)&gt;1))</formula>
    </cfRule>
  </conditionalFormatting>
  <conditionalFormatting sqref="F4:F45">
    <cfRule type="expression" priority="8" dxfId="0">
      <formula>AND(LEN(F4)&gt;0,OR(NOT(ISNUMBER(F4)),F4&lt;1,F4&gt;31))</formula>
    </cfRule>
  </conditionalFormatting>
  <conditionalFormatting sqref="F4 F5 F6 F7 F18 F19 F20 F21 F32 F33 F34 F35 G4 G5 G6 G7 G18 G19 G20 G21 G32 G33 G34 G35 H4 H5 H6 H7 H18 H19 H20 H21 H32 H33 H34 H35 I4 I5 I6 I7 I18 I19 I20 I21 I32 I33 I34 I35 J4 J5 J6 J7 J18 J19 J20 J21 J32 J33 J34 J35 K4 K5 K6 K7 K18 K19 K20 K21 K32 K33 K34 K35 L4 L5 L6 L7 L18 L19 L20 L21 L32 L33 L34 L35 M4 M5 M6 M7 M18 M19 M20 M21 M32 M33 M34 M35 N4 N5 N6 N7 N18 N19 N20 N21 N32 N33 N34 N35 O4 O5 O6 O7 O18 O19 O20 O21 O32 O33 O34 O35 P4 P5 P6 P7 P18 P19 P20 P21 P32 P33 P34 P35 Q4 Q5 Q6 Q7 Q18 Q19 Q20 Q21 Q32 Q33 Q34 Q35 R4 R5 R6 R7 R18 R19 R20 R21 R32 R33 R34 R35 S8 S9 S10 S11 S12 S13 S14 S15 S16 S17 S22 S23 S24 S25 S26 S27 S28 S29 S30 S31 S36 S37 S38 S39 S40 S41 S42 S43 S44 S45 T8 T9 T10 T11 T12 T13 T14 T15 T16 T17 T22 T23 T24 T25 T26 T27 T28 T29 T30 T31 T36 T37 T38 T39 T40 T41 T42 T43 T44 T45 U8 U9 U10 U11 U12 U13 U14 U15 U16 U17 U22 U23 U24 U25 U26 U27 U28 U29 U30 U31 U36 U37 U38 U39 U40 U41 U42 U43 U44 U45 V8 V9 V10 V11 V12 V13 V14 V15 V16 V17 V22 V23 V24 V25 V26 V27 V28 V29 V30 V31 V36 V37 V38 V39 V40 V41 V42 V43 V44 V45 W8 W9 W10 W11 W12 W13 W14 W15 W16 W17 W22 W23 W24 W25 W26 W27 W28 W29 W30 W31 W36 W37 W38 W39 W40 W41 W42 W43 W44 W45 X8 X9 X10 X11 X12 X13 X14 X15 X16 X17 X22 X23 X24 X25 X26 X27 X28 X29 X30 X31 X36 X37 X38 X39 X40 X41 X42 X43 X44 X45 Y8 Y9 Y10 Y11 Y12 Y13 Y14 Y15 Y16 Y17 Y22 Y23 Y24 Y25 Y26 Y27 Y28 Y29 Y30 Y31 Y36 Y37 Y38 Y39 Y40 Y41 Y42 Y43 Y44 Y45 Z8 Z9 Z10 Z11 Z12 Z13 Z14 Z15 Z16 Z17 Z22 Z23 Z24 Z25 Z26 Z27 Z28 Z29 Z30 Z31 Z36 Z37 Z38 Z39 Z40 Z41 Z42 Z43 Z44 Z45 AA5 AA6 AA7 AA19 AA20 AA21 AA33 AA34 AA35 AB5 AB6 AB7 AB19 AB20 AB21 AB33 AB34 AB35 AC5 AC6 AC7 AC19 AC20 AC21 AC33 AC34 AC35 AD5 AD6 AD7 AD19 AD20 AD21 AD33 AD34 AD35 AE5 AE6 AE7 AE19 AE20 AE21 AE33 AE34 AE35 AF5 AF6 AF7 AF19 AF20 AF21 AF33 AF34 AF35 AG5 AG6 AG7 AG19 AG20 AG21 AG33 AG34 AG35 AH5 AH6 AH7 AH19 AH20 AH21 AH33 AH34 AH35">
    <cfRule type="expression" priority="9" dxfId="0">
      <formula>LEN(G4)&gt;0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1" customWidth="1" min="3" max="3"/>
    <col width="10" customWidth="1" min="4" max="4"/>
    <col width="2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6" t="inlineStr">
        <is>
          <t>DEMO LIST — store / model / MCH2 lists are sample data; DA replaces them with the real lists before collecting targets. Instructions: sheet 'Read me'.</t>
        </is>
      </c>
      <c r="B1" s="7" t="n"/>
      <c r="C1" s="7" t="n"/>
      <c r="D1" s="7" t="n"/>
      <c r="E1" s="7" t="n"/>
      <c r="F1" s="7" t="n"/>
      <c r="G1" s="7" t="n"/>
      <c r="H1" s="7" t="n"/>
      <c r="I1" s="7" t="n"/>
      <c r="J1" s="7" t="n"/>
      <c r="K1" s="7" t="n"/>
      <c r="L1" s="7" t="n"/>
      <c r="M1" s="7" t="n"/>
    </row>
    <row r="2" ht="34" customHeight="1">
      <c r="A2" s="8" t="inlineStr">
        <is>
          <t>Month</t>
        </is>
      </c>
      <c r="B2" s="8" t="inlineStr">
        <is>
          <t>Row type</t>
        </is>
      </c>
      <c r="C2" s="8" t="inlineStr">
        <is>
          <t>Model</t>
        </is>
      </c>
      <c r="D2" s="8" t="inlineStr">
        <is>
          <t>MCH2 code</t>
        </is>
      </c>
      <c r="E2" s="8" t="inlineStr">
        <is>
          <t>MCH2</t>
        </is>
      </c>
      <c r="F2" s="8" t="inlineStr">
        <is>
          <t>Sales Per Day (VND / store / day) — required</t>
        </is>
      </c>
      <c r="G2" s="8" t="n"/>
      <c r="H2" s="8" t="n"/>
      <c r="I2" s="8" t="n"/>
      <c r="J2" s="8" t="inlineStr">
        <is>
          <t>DIO (days) — optional</t>
        </is>
      </c>
      <c r="K2" s="8" t="n"/>
      <c r="L2" s="8" t="n"/>
      <c r="M2" s="8" t="n"/>
    </row>
    <row r="3">
      <c r="A3" s="8" t="n"/>
      <c r="B3" s="8" t="n"/>
      <c r="C3" s="8" t="n"/>
      <c r="D3" s="8" t="n"/>
      <c r="E3" s="8" t="n"/>
      <c r="F3" s="8" t="inlineStr">
        <is>
          <t>E</t>
        </is>
      </c>
      <c r="G3" s="8" t="inlineStr">
        <is>
          <t>HE</t>
        </is>
      </c>
      <c r="H3" s="8" t="inlineStr">
        <is>
          <t>O</t>
        </is>
      </c>
      <c r="I3" s="8" t="inlineStr">
        <is>
          <t>O+</t>
        </is>
      </c>
      <c r="J3" s="8" t="inlineStr">
        <is>
          <t>E</t>
        </is>
      </c>
      <c r="K3" s="8" t="inlineStr">
        <is>
          <t>HE</t>
        </is>
      </c>
      <c r="L3" s="8" t="inlineStr">
        <is>
          <t>O</t>
        </is>
      </c>
      <c r="M3" s="8" t="inlineStr">
        <is>
          <t>O+</t>
        </is>
      </c>
    </row>
    <row r="4">
      <c r="A4" s="9" t="inlineStr">
        <is>
          <t>2026-10</t>
        </is>
      </c>
      <c r="B4" s="9" t="inlineStr">
        <is>
          <t>Model</t>
        </is>
      </c>
      <c r="C4" s="9" t="inlineStr">
        <is>
          <t>Flagship</t>
        </is>
      </c>
      <c r="D4" s="9" t="inlineStr">
        <is>
          <t>101</t>
        </is>
      </c>
      <c r="E4" s="9" t="inlineStr">
        <is>
          <t>Thực phẩm Tươi sống, Chế biến</t>
        </is>
      </c>
      <c r="F4" s="20" t="n"/>
      <c r="G4" s="20" t="n"/>
      <c r="H4" s="20" t="n"/>
      <c r="I4" s="20" t="n"/>
      <c r="J4" s="22" t="n"/>
      <c r="K4" s="22" t="n"/>
      <c r="L4" s="22" t="n"/>
      <c r="M4" s="22" t="n"/>
    </row>
    <row r="5">
      <c r="A5" s="9" t="inlineStr">
        <is>
          <t>2026-10</t>
        </is>
      </c>
      <c r="B5" s="9" t="inlineStr">
        <is>
          <t>Model</t>
        </is>
      </c>
      <c r="C5" s="9" t="inlineStr">
        <is>
          <t>Flagship</t>
        </is>
      </c>
      <c r="D5" s="9" t="inlineStr">
        <is>
          <t>102</t>
        </is>
      </c>
      <c r="E5" s="9" t="inlineStr">
        <is>
          <t>Thực phẩm công nghệ</t>
        </is>
      </c>
      <c r="F5" s="20" t="n"/>
      <c r="G5" s="20" t="n"/>
      <c r="H5" s="20" t="n"/>
      <c r="I5" s="20" t="n"/>
      <c r="J5" s="22" t="n"/>
      <c r="K5" s="22" t="n"/>
      <c r="L5" s="22" t="n"/>
      <c r="M5" s="22" t="n"/>
    </row>
    <row r="6">
      <c r="A6" s="9" t="inlineStr">
        <is>
          <t>2026-10</t>
        </is>
      </c>
      <c r="B6" s="9" t="inlineStr">
        <is>
          <t>Model</t>
        </is>
      </c>
      <c r="C6" s="9" t="inlineStr">
        <is>
          <t>Flagship</t>
        </is>
      </c>
      <c r="D6" s="9" t="inlineStr">
        <is>
          <t>201</t>
        </is>
      </c>
      <c r="E6" s="9" t="inlineStr">
        <is>
          <t>Dệt may</t>
        </is>
      </c>
      <c r="F6" s="20" t="n"/>
      <c r="G6" s="20" t="n"/>
      <c r="H6" s="20" t="n"/>
      <c r="I6" s="20" t="n"/>
      <c r="J6" s="22" t="n"/>
      <c r="K6" s="22" t="n"/>
      <c r="L6" s="22" t="n"/>
      <c r="M6" s="22" t="n"/>
    </row>
    <row r="7">
      <c r="A7" s="9" t="inlineStr">
        <is>
          <t>2026-10</t>
        </is>
      </c>
      <c r="B7" s="9" t="inlineStr">
        <is>
          <t>Model</t>
        </is>
      </c>
      <c r="C7" s="9" t="inlineStr">
        <is>
          <t>Flagship</t>
        </is>
      </c>
      <c r="D7" s="9" t="inlineStr">
        <is>
          <t>202</t>
        </is>
      </c>
      <c r="E7" s="9" t="inlineStr">
        <is>
          <t>Hoá mỹ phẩm</t>
        </is>
      </c>
      <c r="F7" s="20" t="n"/>
      <c r="G7" s="20" t="n"/>
      <c r="H7" s="20" t="n"/>
      <c r="I7" s="20" t="n"/>
      <c r="J7" s="22" t="n"/>
      <c r="K7" s="22" t="n"/>
      <c r="L7" s="22" t="n"/>
      <c r="M7" s="22" t="n"/>
    </row>
    <row r="8">
      <c r="A8" s="9" t="inlineStr">
        <is>
          <t>2026-10</t>
        </is>
      </c>
      <c r="B8" s="9" t="inlineStr">
        <is>
          <t>Model</t>
        </is>
      </c>
      <c r="C8" s="9" t="inlineStr">
        <is>
          <t>Flagship</t>
        </is>
      </c>
      <c r="D8" s="9" t="inlineStr">
        <is>
          <t>203</t>
        </is>
      </c>
      <c r="E8" s="9" t="inlineStr">
        <is>
          <t>Homeline</t>
        </is>
      </c>
      <c r="F8" s="20" t="n"/>
      <c r="G8" s="20" t="n"/>
      <c r="H8" s="20" t="n"/>
      <c r="I8" s="20" t="n"/>
      <c r="J8" s="22" t="n"/>
      <c r="K8" s="22" t="n"/>
      <c r="L8" s="22" t="n"/>
      <c r="M8" s="22" t="n"/>
    </row>
    <row r="9">
      <c r="A9" s="9" t="inlineStr">
        <is>
          <t>2026-10</t>
        </is>
      </c>
      <c r="B9" s="9" t="inlineStr">
        <is>
          <t>Model</t>
        </is>
      </c>
      <c r="C9" s="9" t="inlineStr">
        <is>
          <t>Standard</t>
        </is>
      </c>
      <c r="D9" s="9" t="inlineStr">
        <is>
          <t>101</t>
        </is>
      </c>
      <c r="E9" s="9" t="inlineStr">
        <is>
          <t>Thực phẩm Tươi sống, Chế biến</t>
        </is>
      </c>
      <c r="F9" s="20" t="n"/>
      <c r="G9" s="20" t="n"/>
      <c r="H9" s="20" t="n"/>
      <c r="I9" s="20" t="n"/>
      <c r="J9" s="22" t="n"/>
      <c r="K9" s="22" t="n"/>
      <c r="L9" s="22" t="n"/>
      <c r="M9" s="22" t="n"/>
    </row>
    <row r="10">
      <c r="A10" s="9" t="inlineStr">
        <is>
          <t>2026-10</t>
        </is>
      </c>
      <c r="B10" s="9" t="inlineStr">
        <is>
          <t>Model</t>
        </is>
      </c>
      <c r="C10" s="9" t="inlineStr">
        <is>
          <t>Standard</t>
        </is>
      </c>
      <c r="D10" s="9" t="inlineStr">
        <is>
          <t>102</t>
        </is>
      </c>
      <c r="E10" s="9" t="inlineStr">
        <is>
          <t>Thực phẩm công nghệ</t>
        </is>
      </c>
      <c r="F10" s="20" t="n"/>
      <c r="G10" s="20" t="n"/>
      <c r="H10" s="20" t="n"/>
      <c r="I10" s="20" t="n"/>
      <c r="J10" s="22" t="n"/>
      <c r="K10" s="22" t="n"/>
      <c r="L10" s="22" t="n"/>
      <c r="M10" s="22" t="n"/>
    </row>
    <row r="11">
      <c r="A11" s="9" t="inlineStr">
        <is>
          <t>2026-10</t>
        </is>
      </c>
      <c r="B11" s="9" t="inlineStr">
        <is>
          <t>Model</t>
        </is>
      </c>
      <c r="C11" s="9" t="inlineStr">
        <is>
          <t>Standard</t>
        </is>
      </c>
      <c r="D11" s="9" t="inlineStr">
        <is>
          <t>201</t>
        </is>
      </c>
      <c r="E11" s="9" t="inlineStr">
        <is>
          <t>Dệt may</t>
        </is>
      </c>
      <c r="F11" s="20" t="n"/>
      <c r="G11" s="20" t="n"/>
      <c r="H11" s="20" t="n"/>
      <c r="I11" s="20" t="n"/>
      <c r="J11" s="22" t="n"/>
      <c r="K11" s="22" t="n"/>
      <c r="L11" s="22" t="n"/>
      <c r="M11" s="22" t="n"/>
    </row>
    <row r="12">
      <c r="A12" s="9" t="inlineStr">
        <is>
          <t>2026-10</t>
        </is>
      </c>
      <c r="B12" s="9" t="inlineStr">
        <is>
          <t>Model</t>
        </is>
      </c>
      <c r="C12" s="9" t="inlineStr">
        <is>
          <t>Standard</t>
        </is>
      </c>
      <c r="D12" s="9" t="inlineStr">
        <is>
          <t>202</t>
        </is>
      </c>
      <c r="E12" s="9" t="inlineStr">
        <is>
          <t>Hoá mỹ phẩm</t>
        </is>
      </c>
      <c r="F12" s="20" t="n"/>
      <c r="G12" s="20" t="n"/>
      <c r="H12" s="20" t="n"/>
      <c r="I12" s="20" t="n"/>
      <c r="J12" s="22" t="n"/>
      <c r="K12" s="22" t="n"/>
      <c r="L12" s="22" t="n"/>
      <c r="M12" s="22" t="n"/>
    </row>
    <row r="13">
      <c r="A13" s="9" t="inlineStr">
        <is>
          <t>2026-10</t>
        </is>
      </c>
      <c r="B13" s="9" t="inlineStr">
        <is>
          <t>Model</t>
        </is>
      </c>
      <c r="C13" s="9" t="inlineStr">
        <is>
          <t>Standard</t>
        </is>
      </c>
      <c r="D13" s="9" t="inlineStr">
        <is>
          <t>203</t>
        </is>
      </c>
      <c r="E13" s="9" t="inlineStr">
        <is>
          <t>Homeline</t>
        </is>
      </c>
      <c r="F13" s="20" t="n"/>
      <c r="G13" s="20" t="n"/>
      <c r="H13" s="20" t="n"/>
      <c r="I13" s="20" t="n"/>
      <c r="J13" s="22" t="n"/>
      <c r="K13" s="22" t="n"/>
      <c r="L13" s="22" t="n"/>
      <c r="M13" s="22" t="n"/>
    </row>
    <row r="14">
      <c r="A14" s="9" t="inlineStr">
        <is>
          <t>2026-10</t>
        </is>
      </c>
      <c r="B14" s="9" t="inlineStr">
        <is>
          <t>Model</t>
        </is>
      </c>
      <c r="C14" s="9" t="inlineStr">
        <is>
          <t>Mini</t>
        </is>
      </c>
      <c r="D14" s="9" t="inlineStr">
        <is>
          <t>101</t>
        </is>
      </c>
      <c r="E14" s="9" t="inlineStr">
        <is>
          <t>Thực phẩm Tươi sống, Chế biến</t>
        </is>
      </c>
      <c r="F14" s="20" t="n"/>
      <c r="G14" s="20" t="n"/>
      <c r="H14" s="20" t="n"/>
      <c r="I14" s="20" t="n"/>
      <c r="J14" s="22" t="n"/>
      <c r="K14" s="22" t="n"/>
      <c r="L14" s="22" t="n"/>
      <c r="M14" s="22" t="n"/>
    </row>
    <row r="15">
      <c r="A15" s="9" t="inlineStr">
        <is>
          <t>2026-10</t>
        </is>
      </c>
      <c r="B15" s="9" t="inlineStr">
        <is>
          <t>Model</t>
        </is>
      </c>
      <c r="C15" s="9" t="inlineStr">
        <is>
          <t>Mini</t>
        </is>
      </c>
      <c r="D15" s="9" t="inlineStr">
        <is>
          <t>102</t>
        </is>
      </c>
      <c r="E15" s="9" t="inlineStr">
        <is>
          <t>Thực phẩm công nghệ</t>
        </is>
      </c>
      <c r="F15" s="20" t="n"/>
      <c r="G15" s="20" t="n"/>
      <c r="H15" s="20" t="n"/>
      <c r="I15" s="20" t="n"/>
      <c r="J15" s="22" t="n"/>
      <c r="K15" s="22" t="n"/>
      <c r="L15" s="22" t="n"/>
      <c r="M15" s="22" t="n"/>
    </row>
    <row r="16">
      <c r="A16" s="9" t="inlineStr">
        <is>
          <t>2026-10</t>
        </is>
      </c>
      <c r="B16" s="9" t="inlineStr">
        <is>
          <t>Model</t>
        </is>
      </c>
      <c r="C16" s="9" t="inlineStr">
        <is>
          <t>Mini</t>
        </is>
      </c>
      <c r="D16" s="9" t="inlineStr">
        <is>
          <t>201</t>
        </is>
      </c>
      <c r="E16" s="9" t="inlineStr">
        <is>
          <t>Dệt may</t>
        </is>
      </c>
      <c r="F16" s="20" t="n"/>
      <c r="G16" s="20" t="n"/>
      <c r="H16" s="20" t="n"/>
      <c r="I16" s="20" t="n"/>
      <c r="J16" s="22" t="n"/>
      <c r="K16" s="22" t="n"/>
      <c r="L16" s="22" t="n"/>
      <c r="M16" s="22" t="n"/>
    </row>
    <row r="17">
      <c r="A17" s="9" t="inlineStr">
        <is>
          <t>2026-10</t>
        </is>
      </c>
      <c r="B17" s="9" t="inlineStr">
        <is>
          <t>Model</t>
        </is>
      </c>
      <c r="C17" s="9" t="inlineStr">
        <is>
          <t>Mini</t>
        </is>
      </c>
      <c r="D17" s="9" t="inlineStr">
        <is>
          <t>202</t>
        </is>
      </c>
      <c r="E17" s="9" t="inlineStr">
        <is>
          <t>Hoá mỹ phẩm</t>
        </is>
      </c>
      <c r="F17" s="20" t="n"/>
      <c r="G17" s="20" t="n"/>
      <c r="H17" s="20" t="n"/>
      <c r="I17" s="20" t="n"/>
      <c r="J17" s="22" t="n"/>
      <c r="K17" s="22" t="n"/>
      <c r="L17" s="22" t="n"/>
      <c r="M17" s="22" t="n"/>
    </row>
    <row r="18">
      <c r="A18" s="9" t="inlineStr">
        <is>
          <t>2026-10</t>
        </is>
      </c>
      <c r="B18" s="9" t="inlineStr">
        <is>
          <t>Model</t>
        </is>
      </c>
      <c r="C18" s="9" t="inlineStr">
        <is>
          <t>Mini</t>
        </is>
      </c>
      <c r="D18" s="9" t="inlineStr">
        <is>
          <t>203</t>
        </is>
      </c>
      <c r="E18" s="9" t="inlineStr">
        <is>
          <t>Homeline</t>
        </is>
      </c>
      <c r="F18" s="20" t="n"/>
      <c r="G18" s="20" t="n"/>
      <c r="H18" s="20" t="n"/>
      <c r="I18" s="20" t="n"/>
      <c r="J18" s="22" t="n"/>
      <c r="K18" s="22" t="n"/>
      <c r="L18" s="22" t="n"/>
      <c r="M18" s="22" t="n"/>
    </row>
    <row r="19">
      <c r="A19" s="9" t="inlineStr">
        <is>
          <t>2026-10</t>
        </is>
      </c>
      <c r="B19" s="9" t="inlineStr">
        <is>
          <t>Chain</t>
        </is>
      </c>
      <c r="C19" s="9" t="inlineStr"/>
      <c r="D19" s="9" t="inlineStr">
        <is>
          <t>101</t>
        </is>
      </c>
      <c r="E19" s="9" t="inlineStr">
        <is>
          <t>Thực phẩm Tươi sống, Chế biến</t>
        </is>
      </c>
      <c r="F19" s="11" t="n"/>
      <c r="G19" s="11" t="n"/>
      <c r="H19" s="11" t="n"/>
      <c r="I19" s="11" t="n"/>
      <c r="J19" s="15" t="n"/>
      <c r="K19" s="15" t="n"/>
      <c r="L19" s="15" t="n"/>
      <c r="M19" s="15" t="n"/>
    </row>
    <row r="20">
      <c r="A20" s="9" t="inlineStr">
        <is>
          <t>2026-10</t>
        </is>
      </c>
      <c r="B20" s="9" t="inlineStr">
        <is>
          <t>Chain</t>
        </is>
      </c>
      <c r="C20" s="9" t="inlineStr"/>
      <c r="D20" s="9" t="inlineStr">
        <is>
          <t>102</t>
        </is>
      </c>
      <c r="E20" s="9" t="inlineStr">
        <is>
          <t>Thực phẩm công nghệ</t>
        </is>
      </c>
      <c r="F20" s="11" t="n"/>
      <c r="G20" s="11" t="n"/>
      <c r="H20" s="11" t="n"/>
      <c r="I20" s="11" t="n"/>
      <c r="J20" s="15" t="n"/>
      <c r="K20" s="15" t="n"/>
      <c r="L20" s="15" t="n"/>
      <c r="M20" s="15" t="n"/>
    </row>
    <row r="21">
      <c r="A21" s="9" t="inlineStr">
        <is>
          <t>2026-10</t>
        </is>
      </c>
      <c r="B21" s="9" t="inlineStr">
        <is>
          <t>Chain</t>
        </is>
      </c>
      <c r="C21" s="9" t="inlineStr"/>
      <c r="D21" s="9" t="inlineStr">
        <is>
          <t>201</t>
        </is>
      </c>
      <c r="E21" s="9" t="inlineStr">
        <is>
          <t>Dệt may</t>
        </is>
      </c>
      <c r="F21" s="11" t="n"/>
      <c r="G21" s="11" t="n"/>
      <c r="H21" s="11" t="n"/>
      <c r="I21" s="11" t="n"/>
      <c r="J21" s="15" t="n"/>
      <c r="K21" s="15" t="n"/>
      <c r="L21" s="15" t="n"/>
      <c r="M21" s="15" t="n"/>
    </row>
    <row r="22">
      <c r="A22" s="9" t="inlineStr">
        <is>
          <t>2026-10</t>
        </is>
      </c>
      <c r="B22" s="9" t="inlineStr">
        <is>
          <t>Chain</t>
        </is>
      </c>
      <c r="C22" s="9" t="inlineStr"/>
      <c r="D22" s="9" t="inlineStr">
        <is>
          <t>202</t>
        </is>
      </c>
      <c r="E22" s="9" t="inlineStr">
        <is>
          <t>Hoá mỹ phẩm</t>
        </is>
      </c>
      <c r="F22" s="11" t="n"/>
      <c r="G22" s="11" t="n"/>
      <c r="H22" s="11" t="n"/>
      <c r="I22" s="11" t="n"/>
      <c r="J22" s="15" t="n"/>
      <c r="K22" s="15" t="n"/>
      <c r="L22" s="15" t="n"/>
      <c r="M22" s="15" t="n"/>
    </row>
    <row r="23">
      <c r="A23" s="9" t="inlineStr">
        <is>
          <t>2026-10</t>
        </is>
      </c>
      <c r="B23" s="9" t="inlineStr">
        <is>
          <t>Chain</t>
        </is>
      </c>
      <c r="C23" s="9" t="inlineStr"/>
      <c r="D23" s="9" t="inlineStr">
        <is>
          <t>203</t>
        </is>
      </c>
      <c r="E23" s="9" t="inlineStr">
        <is>
          <t>Homeline</t>
        </is>
      </c>
      <c r="F23" s="11" t="n"/>
      <c r="G23" s="11" t="n"/>
      <c r="H23" s="11" t="n"/>
      <c r="I23" s="11" t="n"/>
      <c r="J23" s="15" t="n"/>
      <c r="K23" s="15" t="n"/>
      <c r="L23" s="15" t="n"/>
      <c r="M23" s="15" t="n"/>
    </row>
    <row r="24">
      <c r="A24" s="9" t="inlineStr">
        <is>
          <t>2026-11</t>
        </is>
      </c>
      <c r="B24" s="9" t="inlineStr">
        <is>
          <t>Model</t>
        </is>
      </c>
      <c r="C24" s="9" t="inlineStr">
        <is>
          <t>Flagship</t>
        </is>
      </c>
      <c r="D24" s="9" t="inlineStr">
        <is>
          <t>101</t>
        </is>
      </c>
      <c r="E24" s="9" t="inlineStr">
        <is>
          <t>Thực phẩm Tươi sống, Chế biến</t>
        </is>
      </c>
      <c r="F24" s="20" t="n"/>
      <c r="G24" s="20" t="n"/>
      <c r="H24" s="20" t="n"/>
      <c r="I24" s="20" t="n"/>
      <c r="J24" s="22" t="n"/>
      <c r="K24" s="22" t="n"/>
      <c r="L24" s="22" t="n"/>
      <c r="M24" s="22" t="n"/>
    </row>
    <row r="25">
      <c r="A25" s="9" t="inlineStr">
        <is>
          <t>2026-11</t>
        </is>
      </c>
      <c r="B25" s="9" t="inlineStr">
        <is>
          <t>Model</t>
        </is>
      </c>
      <c r="C25" s="9" t="inlineStr">
        <is>
          <t>Flagship</t>
        </is>
      </c>
      <c r="D25" s="9" t="inlineStr">
        <is>
          <t>102</t>
        </is>
      </c>
      <c r="E25" s="9" t="inlineStr">
        <is>
          <t>Thực phẩm công nghệ</t>
        </is>
      </c>
      <c r="F25" s="20" t="n"/>
      <c r="G25" s="20" t="n"/>
      <c r="H25" s="20" t="n"/>
      <c r="I25" s="20" t="n"/>
      <c r="J25" s="22" t="n"/>
      <c r="K25" s="22" t="n"/>
      <c r="L25" s="22" t="n"/>
      <c r="M25" s="22" t="n"/>
    </row>
    <row r="26">
      <c r="A26" s="9" t="inlineStr">
        <is>
          <t>2026-11</t>
        </is>
      </c>
      <c r="B26" s="9" t="inlineStr">
        <is>
          <t>Model</t>
        </is>
      </c>
      <c r="C26" s="9" t="inlineStr">
        <is>
          <t>Flagship</t>
        </is>
      </c>
      <c r="D26" s="9" t="inlineStr">
        <is>
          <t>201</t>
        </is>
      </c>
      <c r="E26" s="9" t="inlineStr">
        <is>
          <t>Dệt may</t>
        </is>
      </c>
      <c r="F26" s="20" t="n"/>
      <c r="G26" s="20" t="n"/>
      <c r="H26" s="20" t="n"/>
      <c r="I26" s="20" t="n"/>
      <c r="J26" s="22" t="n"/>
      <c r="K26" s="22" t="n"/>
      <c r="L26" s="22" t="n"/>
      <c r="M26" s="22" t="n"/>
    </row>
    <row r="27">
      <c r="A27" s="9" t="inlineStr">
        <is>
          <t>2026-11</t>
        </is>
      </c>
      <c r="B27" s="9" t="inlineStr">
        <is>
          <t>Model</t>
        </is>
      </c>
      <c r="C27" s="9" t="inlineStr">
        <is>
          <t>Flagship</t>
        </is>
      </c>
      <c r="D27" s="9" t="inlineStr">
        <is>
          <t>202</t>
        </is>
      </c>
      <c r="E27" s="9" t="inlineStr">
        <is>
          <t>Hoá mỹ phẩm</t>
        </is>
      </c>
      <c r="F27" s="20" t="n"/>
      <c r="G27" s="20" t="n"/>
      <c r="H27" s="20" t="n"/>
      <c r="I27" s="20" t="n"/>
      <c r="J27" s="22" t="n"/>
      <c r="K27" s="22" t="n"/>
      <c r="L27" s="22" t="n"/>
      <c r="M27" s="22" t="n"/>
    </row>
    <row r="28">
      <c r="A28" s="9" t="inlineStr">
        <is>
          <t>2026-11</t>
        </is>
      </c>
      <c r="B28" s="9" t="inlineStr">
        <is>
          <t>Model</t>
        </is>
      </c>
      <c r="C28" s="9" t="inlineStr">
        <is>
          <t>Flagship</t>
        </is>
      </c>
      <c r="D28" s="9" t="inlineStr">
        <is>
          <t>203</t>
        </is>
      </c>
      <c r="E28" s="9" t="inlineStr">
        <is>
          <t>Homeline</t>
        </is>
      </c>
      <c r="F28" s="20" t="n"/>
      <c r="G28" s="20" t="n"/>
      <c r="H28" s="20" t="n"/>
      <c r="I28" s="20" t="n"/>
      <c r="J28" s="22" t="n"/>
      <c r="K28" s="22" t="n"/>
      <c r="L28" s="22" t="n"/>
      <c r="M28" s="22" t="n"/>
    </row>
    <row r="29">
      <c r="A29" s="9" t="inlineStr">
        <is>
          <t>2026-11</t>
        </is>
      </c>
      <c r="B29" s="9" t="inlineStr">
        <is>
          <t>Model</t>
        </is>
      </c>
      <c r="C29" s="9" t="inlineStr">
        <is>
          <t>Standard</t>
        </is>
      </c>
      <c r="D29" s="9" t="inlineStr">
        <is>
          <t>101</t>
        </is>
      </c>
      <c r="E29" s="9" t="inlineStr">
        <is>
          <t>Thực phẩm Tươi sống, Chế biến</t>
        </is>
      </c>
      <c r="F29" s="20" t="n"/>
      <c r="G29" s="20" t="n"/>
      <c r="H29" s="20" t="n"/>
      <c r="I29" s="20" t="n"/>
      <c r="J29" s="22" t="n"/>
      <c r="K29" s="22" t="n"/>
      <c r="L29" s="22" t="n"/>
      <c r="M29" s="22" t="n"/>
    </row>
    <row r="30">
      <c r="A30" s="9" t="inlineStr">
        <is>
          <t>2026-11</t>
        </is>
      </c>
      <c r="B30" s="9" t="inlineStr">
        <is>
          <t>Model</t>
        </is>
      </c>
      <c r="C30" s="9" t="inlineStr">
        <is>
          <t>Standard</t>
        </is>
      </c>
      <c r="D30" s="9" t="inlineStr">
        <is>
          <t>102</t>
        </is>
      </c>
      <c r="E30" s="9" t="inlineStr">
        <is>
          <t>Thực phẩm công nghệ</t>
        </is>
      </c>
      <c r="F30" s="20" t="n"/>
      <c r="G30" s="20" t="n"/>
      <c r="H30" s="20" t="n"/>
      <c r="I30" s="20" t="n"/>
      <c r="J30" s="22" t="n"/>
      <c r="K30" s="22" t="n"/>
      <c r="L30" s="22" t="n"/>
      <c r="M30" s="22" t="n"/>
    </row>
    <row r="31">
      <c r="A31" s="9" t="inlineStr">
        <is>
          <t>2026-11</t>
        </is>
      </c>
      <c r="B31" s="9" t="inlineStr">
        <is>
          <t>Model</t>
        </is>
      </c>
      <c r="C31" s="9" t="inlineStr">
        <is>
          <t>Standard</t>
        </is>
      </c>
      <c r="D31" s="9" t="inlineStr">
        <is>
          <t>201</t>
        </is>
      </c>
      <c r="E31" s="9" t="inlineStr">
        <is>
          <t>Dệt may</t>
        </is>
      </c>
      <c r="F31" s="20" t="n"/>
      <c r="G31" s="20" t="n"/>
      <c r="H31" s="20" t="n"/>
      <c r="I31" s="20" t="n"/>
      <c r="J31" s="22" t="n"/>
      <c r="K31" s="22" t="n"/>
      <c r="L31" s="22" t="n"/>
      <c r="M31" s="22" t="n"/>
    </row>
    <row r="32">
      <c r="A32" s="9" t="inlineStr">
        <is>
          <t>2026-11</t>
        </is>
      </c>
      <c r="B32" s="9" t="inlineStr">
        <is>
          <t>Model</t>
        </is>
      </c>
      <c r="C32" s="9" t="inlineStr">
        <is>
          <t>Standard</t>
        </is>
      </c>
      <c r="D32" s="9" t="inlineStr">
        <is>
          <t>202</t>
        </is>
      </c>
      <c r="E32" s="9" t="inlineStr">
        <is>
          <t>Hoá mỹ phẩm</t>
        </is>
      </c>
      <c r="F32" s="20" t="n"/>
      <c r="G32" s="20" t="n"/>
      <c r="H32" s="20" t="n"/>
      <c r="I32" s="20" t="n"/>
      <c r="J32" s="22" t="n"/>
      <c r="K32" s="22" t="n"/>
      <c r="L32" s="22" t="n"/>
      <c r="M32" s="22" t="n"/>
    </row>
    <row r="33">
      <c r="A33" s="9" t="inlineStr">
        <is>
          <t>2026-11</t>
        </is>
      </c>
      <c r="B33" s="9" t="inlineStr">
        <is>
          <t>Model</t>
        </is>
      </c>
      <c r="C33" s="9" t="inlineStr">
        <is>
          <t>Standard</t>
        </is>
      </c>
      <c r="D33" s="9" t="inlineStr">
        <is>
          <t>203</t>
        </is>
      </c>
      <c r="E33" s="9" t="inlineStr">
        <is>
          <t>Homeline</t>
        </is>
      </c>
      <c r="F33" s="20" t="n"/>
      <c r="G33" s="20" t="n"/>
      <c r="H33" s="20" t="n"/>
      <c r="I33" s="20" t="n"/>
      <c r="J33" s="22" t="n"/>
      <c r="K33" s="22" t="n"/>
      <c r="L33" s="22" t="n"/>
      <c r="M33" s="22" t="n"/>
    </row>
    <row r="34">
      <c r="A34" s="9" t="inlineStr">
        <is>
          <t>2026-11</t>
        </is>
      </c>
      <c r="B34" s="9" t="inlineStr">
        <is>
          <t>Model</t>
        </is>
      </c>
      <c r="C34" s="9" t="inlineStr">
        <is>
          <t>Mini</t>
        </is>
      </c>
      <c r="D34" s="9" t="inlineStr">
        <is>
          <t>101</t>
        </is>
      </c>
      <c r="E34" s="9" t="inlineStr">
        <is>
          <t>Thực phẩm Tươi sống, Chế biến</t>
        </is>
      </c>
      <c r="F34" s="20" t="n"/>
      <c r="G34" s="20" t="n"/>
      <c r="H34" s="20" t="n"/>
      <c r="I34" s="20" t="n"/>
      <c r="J34" s="22" t="n"/>
      <c r="K34" s="22" t="n"/>
      <c r="L34" s="22" t="n"/>
      <c r="M34" s="22" t="n"/>
    </row>
    <row r="35">
      <c r="A35" s="9" t="inlineStr">
        <is>
          <t>2026-11</t>
        </is>
      </c>
      <c r="B35" s="9" t="inlineStr">
        <is>
          <t>Model</t>
        </is>
      </c>
      <c r="C35" s="9" t="inlineStr">
        <is>
          <t>Mini</t>
        </is>
      </c>
      <c r="D35" s="9" t="inlineStr">
        <is>
          <t>102</t>
        </is>
      </c>
      <c r="E35" s="9" t="inlineStr">
        <is>
          <t>Thực phẩm công nghệ</t>
        </is>
      </c>
      <c r="F35" s="20" t="n"/>
      <c r="G35" s="20" t="n"/>
      <c r="H35" s="20" t="n"/>
      <c r="I35" s="20" t="n"/>
      <c r="J35" s="22" t="n"/>
      <c r="K35" s="22" t="n"/>
      <c r="L35" s="22" t="n"/>
      <c r="M35" s="22" t="n"/>
    </row>
    <row r="36">
      <c r="A36" s="9" t="inlineStr">
        <is>
          <t>2026-11</t>
        </is>
      </c>
      <c r="B36" s="9" t="inlineStr">
        <is>
          <t>Model</t>
        </is>
      </c>
      <c r="C36" s="9" t="inlineStr">
        <is>
          <t>Mini</t>
        </is>
      </c>
      <c r="D36" s="9" t="inlineStr">
        <is>
          <t>201</t>
        </is>
      </c>
      <c r="E36" s="9" t="inlineStr">
        <is>
          <t>Dệt may</t>
        </is>
      </c>
      <c r="F36" s="20" t="n"/>
      <c r="G36" s="20" t="n"/>
      <c r="H36" s="20" t="n"/>
      <c r="I36" s="20" t="n"/>
      <c r="J36" s="22" t="n"/>
      <c r="K36" s="22" t="n"/>
      <c r="L36" s="22" t="n"/>
      <c r="M36" s="22" t="n"/>
    </row>
    <row r="37">
      <c r="A37" s="9" t="inlineStr">
        <is>
          <t>2026-11</t>
        </is>
      </c>
      <c r="B37" s="9" t="inlineStr">
        <is>
          <t>Model</t>
        </is>
      </c>
      <c r="C37" s="9" t="inlineStr">
        <is>
          <t>Mini</t>
        </is>
      </c>
      <c r="D37" s="9" t="inlineStr">
        <is>
          <t>202</t>
        </is>
      </c>
      <c r="E37" s="9" t="inlineStr">
        <is>
          <t>Hoá mỹ phẩm</t>
        </is>
      </c>
      <c r="F37" s="20" t="n"/>
      <c r="G37" s="20" t="n"/>
      <c r="H37" s="20" t="n"/>
      <c r="I37" s="20" t="n"/>
      <c r="J37" s="22" t="n"/>
      <c r="K37" s="22" t="n"/>
      <c r="L37" s="22" t="n"/>
      <c r="M37" s="22" t="n"/>
    </row>
    <row r="38">
      <c r="A38" s="9" t="inlineStr">
        <is>
          <t>2026-11</t>
        </is>
      </c>
      <c r="B38" s="9" t="inlineStr">
        <is>
          <t>Model</t>
        </is>
      </c>
      <c r="C38" s="9" t="inlineStr">
        <is>
          <t>Mini</t>
        </is>
      </c>
      <c r="D38" s="9" t="inlineStr">
        <is>
          <t>203</t>
        </is>
      </c>
      <c r="E38" s="9" t="inlineStr">
        <is>
          <t>Homeline</t>
        </is>
      </c>
      <c r="F38" s="20" t="n"/>
      <c r="G38" s="20" t="n"/>
      <c r="H38" s="20" t="n"/>
      <c r="I38" s="20" t="n"/>
      <c r="J38" s="22" t="n"/>
      <c r="K38" s="22" t="n"/>
      <c r="L38" s="22" t="n"/>
      <c r="M38" s="22" t="n"/>
    </row>
    <row r="39">
      <c r="A39" s="9" t="inlineStr">
        <is>
          <t>2026-11</t>
        </is>
      </c>
      <c r="B39" s="9" t="inlineStr">
        <is>
          <t>Chain</t>
        </is>
      </c>
      <c r="C39" s="9" t="inlineStr"/>
      <c r="D39" s="9" t="inlineStr">
        <is>
          <t>101</t>
        </is>
      </c>
      <c r="E39" s="9" t="inlineStr">
        <is>
          <t>Thực phẩm Tươi sống, Chế biến</t>
        </is>
      </c>
      <c r="F39" s="11" t="n"/>
      <c r="G39" s="11" t="n"/>
      <c r="H39" s="11" t="n"/>
      <c r="I39" s="11" t="n"/>
      <c r="J39" s="15" t="n"/>
      <c r="K39" s="15" t="n"/>
      <c r="L39" s="15" t="n"/>
      <c r="M39" s="15" t="n"/>
    </row>
    <row r="40">
      <c r="A40" s="9" t="inlineStr">
        <is>
          <t>2026-11</t>
        </is>
      </c>
      <c r="B40" s="9" t="inlineStr">
        <is>
          <t>Chain</t>
        </is>
      </c>
      <c r="C40" s="9" t="inlineStr"/>
      <c r="D40" s="9" t="inlineStr">
        <is>
          <t>102</t>
        </is>
      </c>
      <c r="E40" s="9" t="inlineStr">
        <is>
          <t>Thực phẩm công nghệ</t>
        </is>
      </c>
      <c r="F40" s="11" t="n"/>
      <c r="G40" s="11" t="n"/>
      <c r="H40" s="11" t="n"/>
      <c r="I40" s="11" t="n"/>
      <c r="J40" s="15" t="n"/>
      <c r="K40" s="15" t="n"/>
      <c r="L40" s="15" t="n"/>
      <c r="M40" s="15" t="n"/>
    </row>
    <row r="41">
      <c r="A41" s="9" t="inlineStr">
        <is>
          <t>2026-11</t>
        </is>
      </c>
      <c r="B41" s="9" t="inlineStr">
        <is>
          <t>Chain</t>
        </is>
      </c>
      <c r="C41" s="9" t="inlineStr"/>
      <c r="D41" s="9" t="inlineStr">
        <is>
          <t>201</t>
        </is>
      </c>
      <c r="E41" s="9" t="inlineStr">
        <is>
          <t>Dệt may</t>
        </is>
      </c>
      <c r="F41" s="11" t="n"/>
      <c r="G41" s="11" t="n"/>
      <c r="H41" s="11" t="n"/>
      <c r="I41" s="11" t="n"/>
      <c r="J41" s="15" t="n"/>
      <c r="K41" s="15" t="n"/>
      <c r="L41" s="15" t="n"/>
      <c r="M41" s="15" t="n"/>
    </row>
    <row r="42">
      <c r="A42" s="9" t="inlineStr">
        <is>
          <t>2026-11</t>
        </is>
      </c>
      <c r="B42" s="9" t="inlineStr">
        <is>
          <t>Chain</t>
        </is>
      </c>
      <c r="C42" s="9" t="inlineStr"/>
      <c r="D42" s="9" t="inlineStr">
        <is>
          <t>202</t>
        </is>
      </c>
      <c r="E42" s="9" t="inlineStr">
        <is>
          <t>Hoá mỹ phẩm</t>
        </is>
      </c>
      <c r="F42" s="11" t="n"/>
      <c r="G42" s="11" t="n"/>
      <c r="H42" s="11" t="n"/>
      <c r="I42" s="11" t="n"/>
      <c r="J42" s="15" t="n"/>
      <c r="K42" s="15" t="n"/>
      <c r="L42" s="15" t="n"/>
      <c r="M42" s="15" t="n"/>
    </row>
    <row r="43">
      <c r="A43" s="9" t="inlineStr">
        <is>
          <t>2026-11</t>
        </is>
      </c>
      <c r="B43" s="9" t="inlineStr">
        <is>
          <t>Chain</t>
        </is>
      </c>
      <c r="C43" s="9" t="inlineStr"/>
      <c r="D43" s="9" t="inlineStr">
        <is>
          <t>203</t>
        </is>
      </c>
      <c r="E43" s="9" t="inlineStr">
        <is>
          <t>Homeline</t>
        </is>
      </c>
      <c r="F43" s="11" t="n"/>
      <c r="G43" s="11" t="n"/>
      <c r="H43" s="11" t="n"/>
      <c r="I43" s="11" t="n"/>
      <c r="J43" s="15" t="n"/>
      <c r="K43" s="15" t="n"/>
      <c r="L43" s="15" t="n"/>
      <c r="M43" s="15" t="n"/>
    </row>
    <row r="44">
      <c r="A44" s="9" t="inlineStr">
        <is>
          <t>2026-12</t>
        </is>
      </c>
      <c r="B44" s="9" t="inlineStr">
        <is>
          <t>Model</t>
        </is>
      </c>
      <c r="C44" s="9" t="inlineStr">
        <is>
          <t>Flagship</t>
        </is>
      </c>
      <c r="D44" s="9" t="inlineStr">
        <is>
          <t>101</t>
        </is>
      </c>
      <c r="E44" s="9" t="inlineStr">
        <is>
          <t>Thực phẩm Tươi sống, Chế biến</t>
        </is>
      </c>
      <c r="F44" s="20" t="n"/>
      <c r="G44" s="20" t="n"/>
      <c r="H44" s="20" t="n"/>
      <c r="I44" s="20" t="n"/>
      <c r="J44" s="22" t="n"/>
      <c r="K44" s="22" t="n"/>
      <c r="L44" s="22" t="n"/>
      <c r="M44" s="22" t="n"/>
    </row>
    <row r="45">
      <c r="A45" s="9" t="inlineStr">
        <is>
          <t>2026-12</t>
        </is>
      </c>
      <c r="B45" s="9" t="inlineStr">
        <is>
          <t>Model</t>
        </is>
      </c>
      <c r="C45" s="9" t="inlineStr">
        <is>
          <t>Flagship</t>
        </is>
      </c>
      <c r="D45" s="9" t="inlineStr">
        <is>
          <t>102</t>
        </is>
      </c>
      <c r="E45" s="9" t="inlineStr">
        <is>
          <t>Thực phẩm công nghệ</t>
        </is>
      </c>
      <c r="F45" s="20" t="n"/>
      <c r="G45" s="20" t="n"/>
      <c r="H45" s="20" t="n"/>
      <c r="I45" s="20" t="n"/>
      <c r="J45" s="22" t="n"/>
      <c r="K45" s="22" t="n"/>
      <c r="L45" s="22" t="n"/>
      <c r="M45" s="22" t="n"/>
    </row>
    <row r="46">
      <c r="A46" s="9" t="inlineStr">
        <is>
          <t>2026-12</t>
        </is>
      </c>
      <c r="B46" s="9" t="inlineStr">
        <is>
          <t>Model</t>
        </is>
      </c>
      <c r="C46" s="9" t="inlineStr">
        <is>
          <t>Flagship</t>
        </is>
      </c>
      <c r="D46" s="9" t="inlineStr">
        <is>
          <t>201</t>
        </is>
      </c>
      <c r="E46" s="9" t="inlineStr">
        <is>
          <t>Dệt may</t>
        </is>
      </c>
      <c r="F46" s="20" t="n"/>
      <c r="G46" s="20" t="n"/>
      <c r="H46" s="20" t="n"/>
      <c r="I46" s="20" t="n"/>
      <c r="J46" s="22" t="n"/>
      <c r="K46" s="22" t="n"/>
      <c r="L46" s="22" t="n"/>
      <c r="M46" s="22" t="n"/>
    </row>
    <row r="47">
      <c r="A47" s="9" t="inlineStr">
        <is>
          <t>2026-12</t>
        </is>
      </c>
      <c r="B47" s="9" t="inlineStr">
        <is>
          <t>Model</t>
        </is>
      </c>
      <c r="C47" s="9" t="inlineStr">
        <is>
          <t>Flagship</t>
        </is>
      </c>
      <c r="D47" s="9" t="inlineStr">
        <is>
          <t>202</t>
        </is>
      </c>
      <c r="E47" s="9" t="inlineStr">
        <is>
          <t>Hoá mỹ phẩm</t>
        </is>
      </c>
      <c r="F47" s="20" t="n"/>
      <c r="G47" s="20" t="n"/>
      <c r="H47" s="20" t="n"/>
      <c r="I47" s="20" t="n"/>
      <c r="J47" s="22" t="n"/>
      <c r="K47" s="22" t="n"/>
      <c r="L47" s="22" t="n"/>
      <c r="M47" s="22" t="n"/>
    </row>
    <row r="48">
      <c r="A48" s="9" t="inlineStr">
        <is>
          <t>2026-12</t>
        </is>
      </c>
      <c r="B48" s="9" t="inlineStr">
        <is>
          <t>Model</t>
        </is>
      </c>
      <c r="C48" s="9" t="inlineStr">
        <is>
          <t>Flagship</t>
        </is>
      </c>
      <c r="D48" s="9" t="inlineStr">
        <is>
          <t>203</t>
        </is>
      </c>
      <c r="E48" s="9" t="inlineStr">
        <is>
          <t>Homeline</t>
        </is>
      </c>
      <c r="F48" s="20" t="n"/>
      <c r="G48" s="20" t="n"/>
      <c r="H48" s="20" t="n"/>
      <c r="I48" s="20" t="n"/>
      <c r="J48" s="22" t="n"/>
      <c r="K48" s="22" t="n"/>
      <c r="L48" s="22" t="n"/>
      <c r="M48" s="22" t="n"/>
    </row>
    <row r="49">
      <c r="A49" s="9" t="inlineStr">
        <is>
          <t>2026-12</t>
        </is>
      </c>
      <c r="B49" s="9" t="inlineStr">
        <is>
          <t>Model</t>
        </is>
      </c>
      <c r="C49" s="9" t="inlineStr">
        <is>
          <t>Standard</t>
        </is>
      </c>
      <c r="D49" s="9" t="inlineStr">
        <is>
          <t>101</t>
        </is>
      </c>
      <c r="E49" s="9" t="inlineStr">
        <is>
          <t>Thực phẩm Tươi sống, Chế biến</t>
        </is>
      </c>
      <c r="F49" s="20" t="n"/>
      <c r="G49" s="20" t="n"/>
      <c r="H49" s="20" t="n"/>
      <c r="I49" s="20" t="n"/>
      <c r="J49" s="22" t="n"/>
      <c r="K49" s="22" t="n"/>
      <c r="L49" s="22" t="n"/>
      <c r="M49" s="22" t="n"/>
    </row>
    <row r="50">
      <c r="A50" s="9" t="inlineStr">
        <is>
          <t>2026-12</t>
        </is>
      </c>
      <c r="B50" s="9" t="inlineStr">
        <is>
          <t>Model</t>
        </is>
      </c>
      <c r="C50" s="9" t="inlineStr">
        <is>
          <t>Standard</t>
        </is>
      </c>
      <c r="D50" s="9" t="inlineStr">
        <is>
          <t>102</t>
        </is>
      </c>
      <c r="E50" s="9" t="inlineStr">
        <is>
          <t>Thực phẩm công nghệ</t>
        </is>
      </c>
      <c r="F50" s="20" t="n"/>
      <c r="G50" s="20" t="n"/>
      <c r="H50" s="20" t="n"/>
      <c r="I50" s="20" t="n"/>
      <c r="J50" s="22" t="n"/>
      <c r="K50" s="22" t="n"/>
      <c r="L50" s="22" t="n"/>
      <c r="M50" s="22" t="n"/>
    </row>
    <row r="51">
      <c r="A51" s="9" t="inlineStr">
        <is>
          <t>2026-12</t>
        </is>
      </c>
      <c r="B51" s="9" t="inlineStr">
        <is>
          <t>Model</t>
        </is>
      </c>
      <c r="C51" s="9" t="inlineStr">
        <is>
          <t>Standard</t>
        </is>
      </c>
      <c r="D51" s="9" t="inlineStr">
        <is>
          <t>201</t>
        </is>
      </c>
      <c r="E51" s="9" t="inlineStr">
        <is>
          <t>Dệt may</t>
        </is>
      </c>
      <c r="F51" s="20" t="n"/>
      <c r="G51" s="20" t="n"/>
      <c r="H51" s="20" t="n"/>
      <c r="I51" s="20" t="n"/>
      <c r="J51" s="22" t="n"/>
      <c r="K51" s="22" t="n"/>
      <c r="L51" s="22" t="n"/>
      <c r="M51" s="22" t="n"/>
    </row>
    <row r="52">
      <c r="A52" s="9" t="inlineStr">
        <is>
          <t>2026-12</t>
        </is>
      </c>
      <c r="B52" s="9" t="inlineStr">
        <is>
          <t>Model</t>
        </is>
      </c>
      <c r="C52" s="9" t="inlineStr">
        <is>
          <t>Standard</t>
        </is>
      </c>
      <c r="D52" s="9" t="inlineStr">
        <is>
          <t>202</t>
        </is>
      </c>
      <c r="E52" s="9" t="inlineStr">
        <is>
          <t>Hoá mỹ phẩm</t>
        </is>
      </c>
      <c r="F52" s="20" t="n"/>
      <c r="G52" s="20" t="n"/>
      <c r="H52" s="20" t="n"/>
      <c r="I52" s="20" t="n"/>
      <c r="J52" s="22" t="n"/>
      <c r="K52" s="22" t="n"/>
      <c r="L52" s="22" t="n"/>
      <c r="M52" s="22" t="n"/>
    </row>
    <row r="53">
      <c r="A53" s="9" t="inlineStr">
        <is>
          <t>2026-12</t>
        </is>
      </c>
      <c r="B53" s="9" t="inlineStr">
        <is>
          <t>Model</t>
        </is>
      </c>
      <c r="C53" s="9" t="inlineStr">
        <is>
          <t>Standard</t>
        </is>
      </c>
      <c r="D53" s="9" t="inlineStr">
        <is>
          <t>203</t>
        </is>
      </c>
      <c r="E53" s="9" t="inlineStr">
        <is>
          <t>Homeline</t>
        </is>
      </c>
      <c r="F53" s="20" t="n"/>
      <c r="G53" s="20" t="n"/>
      <c r="H53" s="20" t="n"/>
      <c r="I53" s="20" t="n"/>
      <c r="J53" s="22" t="n"/>
      <c r="K53" s="22" t="n"/>
      <c r="L53" s="22" t="n"/>
      <c r="M53" s="22" t="n"/>
    </row>
    <row r="54">
      <c r="A54" s="9" t="inlineStr">
        <is>
          <t>2026-12</t>
        </is>
      </c>
      <c r="B54" s="9" t="inlineStr">
        <is>
          <t>Model</t>
        </is>
      </c>
      <c r="C54" s="9" t="inlineStr">
        <is>
          <t>Mini</t>
        </is>
      </c>
      <c r="D54" s="9" t="inlineStr">
        <is>
          <t>101</t>
        </is>
      </c>
      <c r="E54" s="9" t="inlineStr">
        <is>
          <t>Thực phẩm Tươi sống, Chế biến</t>
        </is>
      </c>
      <c r="F54" s="20" t="n"/>
      <c r="G54" s="20" t="n"/>
      <c r="H54" s="20" t="n"/>
      <c r="I54" s="20" t="n"/>
      <c r="J54" s="22" t="n"/>
      <c r="K54" s="22" t="n"/>
      <c r="L54" s="22" t="n"/>
      <c r="M54" s="22" t="n"/>
    </row>
    <row r="55">
      <c r="A55" s="9" t="inlineStr">
        <is>
          <t>2026-12</t>
        </is>
      </c>
      <c r="B55" s="9" t="inlineStr">
        <is>
          <t>Model</t>
        </is>
      </c>
      <c r="C55" s="9" t="inlineStr">
        <is>
          <t>Mini</t>
        </is>
      </c>
      <c r="D55" s="9" t="inlineStr">
        <is>
          <t>102</t>
        </is>
      </c>
      <c r="E55" s="9" t="inlineStr">
        <is>
          <t>Thực phẩm công nghệ</t>
        </is>
      </c>
      <c r="F55" s="20" t="n"/>
      <c r="G55" s="20" t="n"/>
      <c r="H55" s="20" t="n"/>
      <c r="I55" s="20" t="n"/>
      <c r="J55" s="22" t="n"/>
      <c r="K55" s="22" t="n"/>
      <c r="L55" s="22" t="n"/>
      <c r="M55" s="22" t="n"/>
    </row>
    <row r="56">
      <c r="A56" s="9" t="inlineStr">
        <is>
          <t>2026-12</t>
        </is>
      </c>
      <c r="B56" s="9" t="inlineStr">
        <is>
          <t>Model</t>
        </is>
      </c>
      <c r="C56" s="9" t="inlineStr">
        <is>
          <t>Mini</t>
        </is>
      </c>
      <c r="D56" s="9" t="inlineStr">
        <is>
          <t>201</t>
        </is>
      </c>
      <c r="E56" s="9" t="inlineStr">
        <is>
          <t>Dệt may</t>
        </is>
      </c>
      <c r="F56" s="20" t="n"/>
      <c r="G56" s="20" t="n"/>
      <c r="H56" s="20" t="n"/>
      <c r="I56" s="20" t="n"/>
      <c r="J56" s="22" t="n"/>
      <c r="K56" s="22" t="n"/>
      <c r="L56" s="22" t="n"/>
      <c r="M56" s="22" t="n"/>
    </row>
    <row r="57">
      <c r="A57" s="9" t="inlineStr">
        <is>
          <t>2026-12</t>
        </is>
      </c>
      <c r="B57" s="9" t="inlineStr">
        <is>
          <t>Model</t>
        </is>
      </c>
      <c r="C57" s="9" t="inlineStr">
        <is>
          <t>Mini</t>
        </is>
      </c>
      <c r="D57" s="9" t="inlineStr">
        <is>
          <t>202</t>
        </is>
      </c>
      <c r="E57" s="9" t="inlineStr">
        <is>
          <t>Hoá mỹ phẩm</t>
        </is>
      </c>
      <c r="F57" s="20" t="n"/>
      <c r="G57" s="20" t="n"/>
      <c r="H57" s="20" t="n"/>
      <c r="I57" s="20" t="n"/>
      <c r="J57" s="22" t="n"/>
      <c r="K57" s="22" t="n"/>
      <c r="L57" s="22" t="n"/>
      <c r="M57" s="22" t="n"/>
    </row>
    <row r="58">
      <c r="A58" s="9" t="inlineStr">
        <is>
          <t>2026-12</t>
        </is>
      </c>
      <c r="B58" s="9" t="inlineStr">
        <is>
          <t>Model</t>
        </is>
      </c>
      <c r="C58" s="9" t="inlineStr">
        <is>
          <t>Mini</t>
        </is>
      </c>
      <c r="D58" s="9" t="inlineStr">
        <is>
          <t>203</t>
        </is>
      </c>
      <c r="E58" s="9" t="inlineStr">
        <is>
          <t>Homeline</t>
        </is>
      </c>
      <c r="F58" s="20" t="n"/>
      <c r="G58" s="20" t="n"/>
      <c r="H58" s="20" t="n"/>
      <c r="I58" s="20" t="n"/>
      <c r="J58" s="22" t="n"/>
      <c r="K58" s="22" t="n"/>
      <c r="L58" s="22" t="n"/>
      <c r="M58" s="22" t="n"/>
    </row>
    <row r="59">
      <c r="A59" s="9" t="inlineStr">
        <is>
          <t>2026-12</t>
        </is>
      </c>
      <c r="B59" s="9" t="inlineStr">
        <is>
          <t>Chain</t>
        </is>
      </c>
      <c r="C59" s="9" t="inlineStr"/>
      <c r="D59" s="9" t="inlineStr">
        <is>
          <t>101</t>
        </is>
      </c>
      <c r="E59" s="9" t="inlineStr">
        <is>
          <t>Thực phẩm Tươi sống, Chế biến</t>
        </is>
      </c>
      <c r="F59" s="11" t="n"/>
      <c r="G59" s="11" t="n"/>
      <c r="H59" s="11" t="n"/>
      <c r="I59" s="11" t="n"/>
      <c r="J59" s="15" t="n"/>
      <c r="K59" s="15" t="n"/>
      <c r="L59" s="15" t="n"/>
      <c r="M59" s="15" t="n"/>
    </row>
    <row r="60">
      <c r="A60" s="9" t="inlineStr">
        <is>
          <t>2026-12</t>
        </is>
      </c>
      <c r="B60" s="9" t="inlineStr">
        <is>
          <t>Chain</t>
        </is>
      </c>
      <c r="C60" s="9" t="inlineStr"/>
      <c r="D60" s="9" t="inlineStr">
        <is>
          <t>102</t>
        </is>
      </c>
      <c r="E60" s="9" t="inlineStr">
        <is>
          <t>Thực phẩm công nghệ</t>
        </is>
      </c>
      <c r="F60" s="11" t="n"/>
      <c r="G60" s="11" t="n"/>
      <c r="H60" s="11" t="n"/>
      <c r="I60" s="11" t="n"/>
      <c r="J60" s="15" t="n"/>
      <c r="K60" s="15" t="n"/>
      <c r="L60" s="15" t="n"/>
      <c r="M60" s="15" t="n"/>
    </row>
    <row r="61">
      <c r="A61" s="9" t="inlineStr">
        <is>
          <t>2026-12</t>
        </is>
      </c>
      <c r="B61" s="9" t="inlineStr">
        <is>
          <t>Chain</t>
        </is>
      </c>
      <c r="C61" s="9" t="inlineStr"/>
      <c r="D61" s="9" t="inlineStr">
        <is>
          <t>201</t>
        </is>
      </c>
      <c r="E61" s="9" t="inlineStr">
        <is>
          <t>Dệt may</t>
        </is>
      </c>
      <c r="F61" s="11" t="n"/>
      <c r="G61" s="11" t="n"/>
      <c r="H61" s="11" t="n"/>
      <c r="I61" s="11" t="n"/>
      <c r="J61" s="15" t="n"/>
      <c r="K61" s="15" t="n"/>
      <c r="L61" s="15" t="n"/>
      <c r="M61" s="15" t="n"/>
    </row>
    <row r="62">
      <c r="A62" s="9" t="inlineStr">
        <is>
          <t>2026-12</t>
        </is>
      </c>
      <c r="B62" s="9" t="inlineStr">
        <is>
          <t>Chain</t>
        </is>
      </c>
      <c r="C62" s="9" t="inlineStr"/>
      <c r="D62" s="9" t="inlineStr">
        <is>
          <t>202</t>
        </is>
      </c>
      <c r="E62" s="9" t="inlineStr">
        <is>
          <t>Hoá mỹ phẩm</t>
        </is>
      </c>
      <c r="F62" s="11" t="n"/>
      <c r="G62" s="11" t="n"/>
      <c r="H62" s="11" t="n"/>
      <c r="I62" s="11" t="n"/>
      <c r="J62" s="15" t="n"/>
      <c r="K62" s="15" t="n"/>
      <c r="L62" s="15" t="n"/>
      <c r="M62" s="15" t="n"/>
    </row>
    <row r="63">
      <c r="A63" s="9" t="inlineStr">
        <is>
          <t>2026-12</t>
        </is>
      </c>
      <c r="B63" s="9" t="inlineStr">
        <is>
          <t>Chain</t>
        </is>
      </c>
      <c r="C63" s="9" t="inlineStr"/>
      <c r="D63" s="9" t="inlineStr">
        <is>
          <t>203</t>
        </is>
      </c>
      <c r="E63" s="9" t="inlineStr">
        <is>
          <t>Homeline</t>
        </is>
      </c>
      <c r="F63" s="11" t="n"/>
      <c r="G63" s="11" t="n"/>
      <c r="H63" s="11" t="n"/>
      <c r="I63" s="11" t="n"/>
      <c r="J63" s="15" t="n"/>
      <c r="K63" s="15" t="n"/>
      <c r="L63" s="15" t="n"/>
      <c r="M63" s="15" t="n"/>
    </row>
  </sheetData>
  <autoFilter ref="A3:M63"/>
  <mergeCells count="7">
    <mergeCell ref="F2:I2"/>
    <mergeCell ref="D2:D3"/>
    <mergeCell ref="B2:B3"/>
    <mergeCell ref="A2:A3"/>
    <mergeCell ref="J2:M2"/>
    <mergeCell ref="C2:C3"/>
    <mergeCell ref="E2:E3"/>
  </mergeCells>
  <conditionalFormatting sqref="F4:I63">
    <cfRule type="expression" priority="1" dxfId="0">
      <formula>AND(COUNTA($F4:$I4)&gt;0,OR(COUNTA($F4:$I4)&lt;&gt;COUNT($F4:$I4),COUNT($F4:$I4)&lt;4,MIN($F4:$I4)&lt;0,NOT(AND($F4&lt;=$G4,$G4&lt;=$H4,$H4&lt;=$I4))))</formula>
    </cfRule>
  </conditionalFormatting>
  <conditionalFormatting sqref="J4:M63">
    <cfRule type="expression" priority="2" dxfId="0">
      <formula>AND(COUNTA($J4:$M4)&gt;0,OR(COUNTA($J4:$M4)&lt;&gt;COUNT($J4:$M4),COUNT($J4:$M4)&lt;4,MIN($J4:$M4)&lt;0,NOT(AND($J4&gt;=$K4,$K4&gt;=$L4,$L4&gt;=$M4))))</formula>
    </cfRule>
  </conditionalFormatting>
  <conditionalFormatting sqref="F19 F20 F21 F22 F23 F39 F40 F41 F42 F43 F59 F60 F61 F62 F63 G19 G20 G21 G22 G23 G39 G40 G41 G42 G43 G59 G60 G61 G62 G63 H19 H20 H21 H22 H23 H39 H40 H41 H42 H43 H59 H60 H61 H62 H63 I19 I20 I21 I22 I23 I39 I40 I41 I42 I43 I59 I60 I61 I62 I63 J4 J5 J6 J7 J8 J9 J10 J11 J12 J13 J14 J15 J16 J17 J18 J24 J25 J26 J27 J28 J29 J30 J31 J32 J33 J34 J35 J36 J37 J38 J44 J45 J46 J47 J48 J49 J50 J51 J52 J53 J54 J55 J56 J57 J58 K4 K5 K6 K7 K8 K9 K10 K11 K12 K13 K14 K15 K16 K17 K18 K24 K25 K26 K27 K28 K29 K30 K31 K32 K33 K34 K35 K36 K37 K38 K44 K45 K46 K47 K48 K49 K50 K51 K52 K53 K54 K55 K56 K57 K58 L4 L5 L6 L7 L8 L9 L10 L11 L12 L13 L14 L15 L16 L17 L18 L24 L25 L26 L27 L28 L29 L30 L31 L32 L33 L34 L35 L36 L37 L38 L44 L45 L46 L47 L48 L49 L50 L51 L52 L53 L54 L55 L56 L57 L58 M4 M5 M6 M7 M8 M9 M10 M11 M12 M13 M14 M15 M16 M17 M18 M24 M25 M26 M27 M28 M29 M30 M31 M32 M33 M34 M35 M36 M37 M38 M44 M45 M46 M47 M48 M49 M50 M51 M52 M53 M54 M55 M56 M57 M58">
    <cfRule type="expression" priority="3" dxfId="0">
      <formula>LEN(J4)&gt;0</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4" customWidth="1" min="3" max="3"/>
    <col width="14" customWidth="1" min="4" max="4"/>
    <col width="14" customWidth="1" min="5" max="5"/>
    <col width="14" customWidth="1" min="6" max="6"/>
  </cols>
  <sheetData>
    <row r="1">
      <c r="A1" s="6" t="inlineStr">
        <is>
          <t>DEMO LIST — store / model / MCH2 lists are sample data; DA replaces them with the real lists before collecting targets. Instructions: sheet 'Read me'.</t>
        </is>
      </c>
      <c r="B1" s="7" t="n"/>
      <c r="C1" s="7" t="n"/>
      <c r="D1" s="7" t="n"/>
      <c r="E1" s="7" t="n"/>
      <c r="F1" s="7" t="n"/>
    </row>
    <row r="2" ht="34" customHeight="1">
      <c r="A2" s="8" t="inlineStr">
        <is>
          <t>Month</t>
        </is>
      </c>
      <c r="B2" s="8" t="inlineStr">
        <is>
          <t>Row type</t>
        </is>
      </c>
      <c r="C2" s="8" t="inlineStr">
        <is>
          <t>Promo Compliance (%) — optional</t>
        </is>
      </c>
      <c r="D2" s="8" t="n"/>
      <c r="E2" s="8" t="n"/>
      <c r="F2" s="8" t="n"/>
    </row>
    <row r="3">
      <c r="A3" s="8" t="n"/>
      <c r="B3" s="8" t="n"/>
      <c r="C3" s="8" t="inlineStr">
        <is>
          <t>E</t>
        </is>
      </c>
      <c r="D3" s="8" t="inlineStr">
        <is>
          <t>HE</t>
        </is>
      </c>
      <c r="E3" s="8" t="inlineStr">
        <is>
          <t>O</t>
        </is>
      </c>
      <c r="F3" s="8" t="inlineStr">
        <is>
          <t>O+</t>
        </is>
      </c>
    </row>
    <row r="4">
      <c r="A4" s="9" t="inlineStr">
        <is>
          <t>2026-10</t>
        </is>
      </c>
      <c r="B4" s="9" t="inlineStr">
        <is>
          <t>Chain</t>
        </is>
      </c>
      <c r="C4" s="14" t="n"/>
      <c r="D4" s="14" t="n"/>
      <c r="E4" s="14" t="n"/>
      <c r="F4" s="14" t="n"/>
    </row>
    <row r="5">
      <c r="A5" s="9" t="inlineStr">
        <is>
          <t>2026-11</t>
        </is>
      </c>
      <c r="B5" s="9" t="inlineStr">
        <is>
          <t>Chain</t>
        </is>
      </c>
      <c r="C5" s="14" t="n"/>
      <c r="D5" s="14" t="n"/>
      <c r="E5" s="14" t="n"/>
      <c r="F5" s="14" t="n"/>
    </row>
    <row r="6">
      <c r="A6" s="9" t="inlineStr">
        <is>
          <t>2026-12</t>
        </is>
      </c>
      <c r="B6" s="9" t="inlineStr">
        <is>
          <t>Chain</t>
        </is>
      </c>
      <c r="C6" s="14" t="n"/>
      <c r="D6" s="14" t="n"/>
      <c r="E6" s="14" t="n"/>
      <c r="F6" s="14" t="n"/>
    </row>
  </sheetData>
  <mergeCells count="3">
    <mergeCell ref="C2:F2"/>
    <mergeCell ref="B2:B3"/>
    <mergeCell ref="A2:A3"/>
  </mergeCells>
  <conditionalFormatting sqref="C4:F6">
    <cfRule type="expression" priority="1" dxfId="0">
      <formula>AND(COUNTA($C4:$F4)&gt;0,OR(COUNTA($C4:$F4)&lt;&gt;COUNT($C4:$F4),COUNT($C4:$F4)&lt;4,MIN($C4:$F4)&lt;0,NOT(AND($C4&lt;=$D4,$D4&lt;=$E4,$E4&lt;=$F4)),MAX($C4:$F4)&gt;1))</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2026-10-09T04:41:07Z</dcterms:created>
  <dcterms:modified xmlns:dcterms="http://purl.org/dc/terms/" xmlns:xsi="http://www.w3.org/2001/XMLSchema-instance" xsi:type="dcterms:W3CDTF">2026-10-09T04:41:07Z</dcterms:modified>
</cp:coreProperties>
</file>