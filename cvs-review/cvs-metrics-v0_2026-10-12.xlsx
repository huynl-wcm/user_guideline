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Câu hỏi" sheetId="2" state="visible" r:id="rId2"/>
    <sheet xmlns:r="http://schemas.openxmlformats.org/officeDocument/2006/relationships" name="Thuật ngữ" sheetId="3" state="visible" r:id="rId3"/>
  </sheets>
  <definedNames>
    <definedName name="_xlnm._FilterDatabase" localSheetId="0" hidden="1">'Metrics'!$A$1:$R$46</definedName>
    <definedName name="_xlnm._FilterDatabase" localSheetId="1" hidden="1">'Câu hỏi'!$A$1:$E$26</definedName>
    <definedName name="_xlnm._FilterDatabase" localSheetId="2" hidden="1">'Thuật ngữ'!$A$1:$C$32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F172A"/>
      </patternFill>
    </fill>
    <fill>
      <patternFill patternType="solid">
        <fgColor rgb="00FFFB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6" customWidth="1" min="3" max="3"/>
    <col width="24" customWidth="1" min="4" max="4"/>
    <col width="12" customWidth="1" min="5" max="5"/>
    <col width="16" customWidth="1" min="6" max="6"/>
    <col width="7" customWidth="1" min="7" max="7"/>
    <col width="40" customWidth="1" min="8" max="8"/>
    <col width="44" customWidth="1" min="9" max="9"/>
    <col width="36" customWidth="1" min="10" max="10"/>
    <col width="16" customWidth="1" min="11" max="11"/>
    <col width="40" customWidth="1" min="12" max="12"/>
    <col width="40" customWidth="1" min="13" max="13"/>
    <col width="28" customWidth="1" min="14" max="14"/>
    <col width="26" customWidth="1" min="15" max="15"/>
    <col width="12" customWidth="1" min="16" max="16"/>
    <col width="36" customWidth="1" min="17" max="17"/>
    <col width="16" customWidth="1" min="18" max="18"/>
  </cols>
  <sheetData>
    <row r="1">
      <c r="A1" s="1" t="inlineStr">
        <is>
          <t>ID</t>
        </is>
      </c>
      <c r="B1" s="1" t="inlineStr">
        <is>
          <t>Hạng mục</t>
        </is>
      </c>
      <c r="C1" s="1" t="inlineStr">
        <is>
          <t>Tên VN</t>
        </is>
      </c>
      <c r="D1" s="1" t="inlineStr">
        <is>
          <t>Tên trên báo cáo</t>
        </is>
      </c>
      <c r="E1" s="1" t="inlineStr">
        <is>
          <t>Báo cáo v1</t>
        </is>
      </c>
      <c r="F1" s="1" t="inlineStr">
        <is>
          <t>Người dùng</t>
        </is>
      </c>
      <c r="G1" s="1" t="inlineStr">
        <is>
          <t>Nhịp</t>
        </is>
      </c>
      <c r="H1" s="1" t="inlineStr">
        <is>
          <t>Giải thích</t>
        </is>
      </c>
      <c r="I1" s="1" t="inlineStr">
        <is>
          <t>Cách tính</t>
        </is>
      </c>
      <c r="J1" s="1" t="inlineStr">
        <is>
          <t>Ai quyết định gì</t>
        </is>
      </c>
      <c r="K1" s="1" t="inlineStr">
        <is>
          <t>Chiều tốt</t>
        </is>
      </c>
      <c r="L1" s="1" t="inlineStr">
        <is>
          <t>So với gì</t>
        </is>
      </c>
      <c r="M1" s="1" t="inlineStr">
        <is>
          <t>Ngưỡng</t>
        </is>
      </c>
      <c r="N1" s="1" t="inlineStr">
        <is>
          <t>Cần anh/chị điền</t>
        </is>
      </c>
      <c r="O1" s="1" t="inlineStr">
        <is>
          <t>Tình trạng dữ liệu</t>
        </is>
      </c>
      <c r="P1" s="1" t="inlineStr">
        <is>
          <t>Giữ / Sửa / Bỏ</t>
        </is>
      </c>
      <c r="Q1" s="1" t="inlineStr">
        <is>
          <t>Góp ý</t>
        </is>
      </c>
      <c r="R1" s="1" t="inlineStr">
        <is>
          <t>Người góp ý</t>
        </is>
      </c>
    </row>
    <row r="2">
      <c r="A2" s="2" t="inlineStr">
        <is>
          <t>TQ-01</t>
        </is>
      </c>
      <c r="B2" s="2" t="inlineStr">
        <is>
          <t>Tổng quan chuỗi</t>
        </is>
      </c>
      <c r="C2" s="2" t="inlineStr">
        <is>
          <t>Doanh thu / cửa hàng / ngày hoạt động</t>
        </is>
      </c>
      <c r="D2" s="2" t="inlineStr">
        <is>
          <t>Sales Per Day</t>
        </is>
      </c>
      <c r="E2" s="2" t="inlineStr">
        <is>
          <t>Core 7</t>
        </is>
      </c>
      <c r="F2" s="2" t="inlineStr">
        <is>
          <t>OPS, BOD</t>
        </is>
      </c>
      <c r="G2" s="2" t="inlineStr">
        <is>
          <t>Ngày</t>
        </is>
      </c>
      <c r="H2" s="2" t="inlineStr">
        <is>
          <t>Doanh thu bình quân một cửa hàng làm được trong một ngày hoạt động. Con số đầu tiên đọc mỗi sáng; không phụ thuộc chuỗi đang mở bao nhiêu cửa hàng.</t>
        </is>
      </c>
      <c r="I2" s="2" t="inlineStr">
        <is>
          <t>Tổng doanh thu (theo phạm vi doanh thu chuẩn) chia tổng số ngày hoạt động của các cửa hàng đang xem. Minh họa: 3 cửa hàng, trong 7 ngày có 20 ngày hoạt động, doanh thu 400 tr đ ⇒ Sales Per Day = 20 tr đ.</t>
        </is>
      </c>
      <c r="J2" s="2" t="inlineStr">
        <is>
          <t>Ops cấp cao — cửa hàng / nhóm nào kéo tụt hôm qua, mở nhánh nào (A / B / C / D) để tìm nguyên nhân.</t>
        </is>
      </c>
      <c r="K2" s="2" t="inlineStr">
        <is>
          <t>Càng cao càng tốt</t>
        </is>
      </c>
      <c r="L2" s="2" t="inlineStr">
        <is>
          <t>Kênh kế hoạch: So với 4 mốc kế hoạch E / HE / O / O+ do Finance cấp.</t>
        </is>
      </c>
      <c r="M2" s="2" t="inlineStr">
        <is>
          <t>Kênh kế hoạch: Màu theo 4 mốc: tới E đỏ · tới HE cam · tới O xanh lá · tới O+ xanh lam · vượt O+ tím. Target = target Revenue ÷ số ngày hoạt động theo plan (từng mốc E / HE / O / O+); Bill Size suy ra = Sales Per Day ÷ Bill Per Day ⇒ dòng tách TQ-02 luôn khớp. Theo ngành hàng (cấp ngành lớn): đây là số được NHẬP — mỗi loại cửa hàng (Flagship / Standard / Mini) một mức doanh thu / ngày cho từng ngành, mỗi tháng; cửa hàng nhận mức của loại cửa hàng mình, cửa hàng mới mở tự có kế hoạch (đề xuất)</t>
        </is>
      </c>
      <c r="N2" s="2" t="inlineStr">
        <is>
          <t>Target: không xin — suy ra</t>
        </is>
      </c>
      <c r="O2" s="2" t="inlineStr">
        <is>
          <t>Có dữ liệu — có số khi cửa hàng bắt đầu bán · Chờ đưa dữ liệu CVS vào hệ thống báo cáo (đang làm, trước ngày khai trương)</t>
        </is>
      </c>
      <c r="P2" s="3" t="inlineStr"/>
      <c r="Q2" s="3" t="inlineStr"/>
      <c r="R2" s="3" t="inlineStr"/>
    </row>
    <row r="3">
      <c r="A3" s="2" t="inlineStr">
        <is>
          <t>TQ-02</t>
        </is>
      </c>
      <c r="B3" s="2" t="inlineStr">
        <is>
          <t>Tổng quan chuỗi</t>
        </is>
      </c>
      <c r="C3" s="2" t="inlineStr">
        <is>
          <t>Tách chênh lệch Sales Per Day — phần traffic, phần giá trị bill</t>
        </is>
      </c>
      <c r="D3" s="2" t="inlineStr">
        <is>
          <t>Sales Per Day Gap Split</t>
        </is>
      </c>
      <c r="E3" s="2" t="inlineStr">
        <is>
          <t>BOD · OPS · CMC · DETAIL</t>
        </is>
      </c>
      <c r="F3" s="2" t="inlineStr">
        <is>
          <t>OPS, CMC</t>
        </is>
      </c>
      <c r="G3" s="2" t="inlineStr">
        <is>
          <t>Ngày</t>
        </is>
      </c>
      <c r="H3" s="2" t="inlineStr">
        <is>
          <t>Sales Per Day lệch bao nhiêu % so với mốc, trong đó bao nhiêu % do số bill, bao nhiêu do giá trị bill. Hai phần cộng đúng bằng tổng — người xem biết mở A1 (khách) hay A2 (giỏ).</t>
        </is>
      </c>
      <c r="I3" s="2" t="inlineStr">
        <is>
          <t>Chia mức lệch thành phần do số bill và phần do giá trị bill, theo mức đóng góp của từng phần; hai phần luôn cộng đúng bằng tổng. Minh họa: Sales Per Day mốc 20 tr đ, hôm qua 17,6 tr đ (−12%); bill/ngày 800 → 728, giá trị bill 25.000 → 24.176 đ ⇒ −12% = traffic −8,9% + giá trị bill −3,1%.</t>
        </is>
      </c>
      <c r="J3" s="2" t="inlineStr">
        <is>
          <t>Ops — với cửa hàng / nhóm đang đỏ, mở A1 (mất khách → giờ nào) hay chuyển A2 cho CMC (giỏ nhỏ → ngành hàng nào).</t>
        </is>
      </c>
      <c r="K3" s="2" t="inlineStr">
        <is>
          <t>Càng cao càng tốt</t>
        </is>
      </c>
      <c r="L3" s="2" t="inlineStr">
        <is>
          <t>Kênh kế hoạch: So với 4 mốc kế hoạch E / HE / O / O+ do Finance cấp.
Dòng tách trên thẻ KPI Sales Per Day (BOD / OPS / CMC)
DETAIL: đủ cột (gap tổng · phần Bill Per Day · phần Bill Size)
Khung giải thích của ô ≤ E dùng dòng tách cho phần 'vì sao' (T33 — thay thẻ cảnh báo đầu trang)</t>
        </is>
      </c>
      <c r="M3" s="2" t="inlineStr">
        <is>
          <t>Kênh kế hoạch: Không tô màu riêng: Chỉ đường — một dòng '−4% vs plan = Bill Per Day −3% · Bill Size −1%'; màu thuộc TQ-01</t>
        </is>
      </c>
      <c r="N3" s="2" t="inlineStr"/>
      <c r="O3" s="2" t="inlineStr">
        <is>
          <t>Có dữ liệu — có số khi cửa hàng bắt đầu bán · Chờ đưa dữ liệu CVS vào hệ thống báo cáo (đang làm, trước ngày khai trương)</t>
        </is>
      </c>
      <c r="P3" s="3" t="inlineStr"/>
      <c r="Q3" s="3" t="inlineStr"/>
      <c r="R3" s="3" t="inlineStr"/>
    </row>
    <row r="4">
      <c r="A4" s="2" t="inlineStr">
        <is>
          <t>TQ-03</t>
        </is>
      </c>
      <c r="B4" s="2" t="inlineStr">
        <is>
          <t>Tổng quan chuỗi</t>
        </is>
      </c>
      <c r="C4" s="2" t="inlineStr">
        <is>
          <t>Doanh thu chuỗi</t>
        </is>
      </c>
      <c r="D4" s="2" t="inlineStr">
        <is>
          <t>Revenue</t>
        </is>
      </c>
      <c r="E4" s="2" t="inlineStr">
        <is>
          <t>Core 7</t>
        </is>
      </c>
      <c r="F4" s="2" t="inlineStr">
        <is>
          <t>BOD, Finance</t>
        </is>
      </c>
      <c r="G4" s="2" t="inlineStr">
        <is>
          <t>Ngày</t>
        </is>
      </c>
      <c r="H4" s="2" t="inlineStr">
        <is>
          <t>Tổng doanh thu mọi cửa hàng CVS trong kỳ, kèm số cửa hàng hoạt động. Dòng bối cảnh, không drill — với ít cửa hàng, số này chủ yếu phản ánh bao nhiêu cửa hàng đang mở.</t>
        </is>
      </c>
      <c r="I4" s="2" t="inlineStr">
        <is>
          <t>Cộng doanh thu (theo phạm vi doanh thu chuẩn) của mọi cửa hàng CVS; lũy kế tháng so với kế hoạch. Minh họa: kế hoạch tháng 6 tỷ đ, tới ngày 15 lũy kế 2,7 tỷ đ ⇒ đạt 45% kế hoạch khi đã qua 50% số ngày.</t>
        </is>
      </c>
      <c r="J4" s="2" t="inlineStr">
        <is>
          <t>BLĐ — đọc tiến độ doanh thu chuỗi so với kế hoạch tháng.</t>
        </is>
      </c>
      <c r="K4" s="2" t="inlineStr">
        <is>
          <t>Càng cao càng tốt</t>
        </is>
      </c>
      <c r="L4" s="2" t="inlineStr">
        <is>
          <t>Kênh kế hoạch: So với 4 mốc kế hoạch E / HE / O / O+ do Finance cấp.</t>
        </is>
      </c>
      <c r="M4" s="2" t="inlineStr">
        <is>
          <t>Kênh kế hoạch: Màu theo 4 mốc: tới E đỏ · tới HE cam · tới O xanh lá · tới O+ xanh lam · vượt O+ tím. Doanh thu theo ngành hàng (cấp ngành lớn) không nhập riêng: cộng từ kế hoạch doanh thu / ngày theo ngành của từng loại cửa hàng (Sales Per Day) nhân số ngày mở cửa theo kế hoạch của mỗi cửa hàng — nên vùng, loại cửa hàng hay một cửa hàng đều có kế hoạch theo ngành (đề xuất)</t>
        </is>
      </c>
      <c r="N4" s="2" t="inlineStr">
        <is>
          <t>Target: Finance / team CVS</t>
        </is>
      </c>
      <c r="O4" s="2" t="inlineStr">
        <is>
          <t>Có dữ liệu — có số khi cửa hàng bắt đầu bán · Chờ đưa dữ liệu CVS vào hệ thống báo cáo (đang làm, trước ngày khai trương) · Chờ Finance cung cấp kế hoạch doanh thu tháng</t>
        </is>
      </c>
      <c r="P4" s="3" t="inlineStr"/>
      <c r="Q4" s="3" t="inlineStr"/>
      <c r="R4" s="3" t="inlineStr"/>
    </row>
    <row r="5">
      <c r="A5" s="2" t="inlineStr">
        <is>
          <t>TQ-04</t>
        </is>
      </c>
      <c r="B5" s="2" t="inlineStr">
        <is>
          <t>Tổng quan chuỗi</t>
        </is>
      </c>
      <c r="C5" s="2" t="inlineStr">
        <is>
          <t>Tỷ lệ ngày hoạt động</t>
        </is>
      </c>
      <c r="D5" s="2" t="inlineStr">
        <is>
          <t>Operating Day Rate</t>
        </is>
      </c>
      <c r="E5" s="2" t="inlineStr">
        <is>
          <t>OPS · DETAIL</t>
        </is>
      </c>
      <c r="F5" s="2" t="inlineStr">
        <is>
          <t>OPS</t>
        </is>
      </c>
      <c r="G5" s="2" t="inlineStr">
        <is>
          <t>Ngày</t>
        </is>
      </c>
      <c r="H5" s="2" t="inlineStr">
        <is>
          <t>Phần trăm ngày lịch (kể từ ngày khai trương) mà cửa hàng có phát sinh bán. CVS 24/7 kỳ vọng 100%; thấp hơn là cờ, mở danh sách cửa hàng-ngày thiếu.</t>
        </is>
      </c>
      <c r="I5" s="2" t="inlineStr">
        <is>
          <t>Số ngày hoạt động chia số ngày lịch kể từ ngày khai trương (hoặc đầu kỳ, lấy ngày muộn hơn) tới D-1. Minh họa: kỳ 30 ngày, cửa hàng có 29 ngày phát sinh bán ⇒ 96,7% → cờ, hiện ngày bị thiếu.</t>
        </is>
      </c>
      <c r="J5" s="2" t="inlineStr">
        <is>
          <t>Ops — ghi lý do cho từng cửa hàng-ngày thiếu (sửa chữa / sự cố / thiếu dữ liệu) và báo DA khi là lỗi dữ liệu.</t>
        </is>
      </c>
      <c r="K5" s="2" t="inlineStr">
        <is>
          <t>Càng gần mốc càng tốt</t>
        </is>
      </c>
      <c r="L5" s="2" t="inlineStr">
        <is>
          <t>Kênh kế hoạch: So với 4 mốc kế hoạch E / HE / O / O+ do Finance cấp.</t>
        </is>
      </c>
      <c r="M5" s="2" t="inlineStr">
        <is>
          <t>Kênh kế hoạch: Màu theo 4 mốc: tới E đỏ · tới HE cam · tới O xanh lá · tới O+ xanh lam · vượt O+ tím. Cột target TÙY CHỌN (OPS điền, cửa hàng × tháng; T20): một dòng mặc định toàn chuỗi (vd O = 100%), dòng có mã cửa hàng đè; trống ⇒ số không màu. Cấp trên = bình quân target cửa hàng theo số ngày. Không vượt được 100%: mở cửa đủ mọi ngày (100%) là đạt mức cao nhất, tính như vượt mọi mốc, nhãn ghi 100% (max) (T21) (đề xuất)</t>
        </is>
      </c>
      <c r="N5" s="2" t="inlineStr">
        <is>
          <t>Target: team CVS</t>
        </is>
      </c>
      <c r="O5" s="2" t="inlineStr">
        <is>
          <t>Có dữ liệu — có số khi cửa hàng bắt đầu bán · Chờ đưa dữ liệu CVS vào hệ thống báo cáo (đang làm, trước ngày khai trương)</t>
        </is>
      </c>
      <c r="P5" s="3" t="inlineStr"/>
      <c r="Q5" s="3" t="inlineStr"/>
      <c r="R5" s="3" t="inlineStr"/>
    </row>
    <row r="6">
      <c r="A6" s="2" t="inlineStr">
        <is>
          <t>TG-01</t>
        </is>
      </c>
      <c r="B6" s="2" t="inlineStr">
        <is>
          <t>Traffic &amp; Giỏ</t>
        </is>
      </c>
      <c r="C6" s="2" t="inlineStr">
        <is>
          <t>Bill / cửa hàng / ngày</t>
        </is>
      </c>
      <c r="D6" s="2" t="inlineStr">
        <is>
          <t>Bill Per Day</t>
        </is>
      </c>
      <c r="E6" s="2" t="inlineStr">
        <is>
          <t>Core 7</t>
        </is>
      </c>
      <c r="F6" s="2" t="inlineStr">
        <is>
          <t>OPS</t>
        </is>
      </c>
      <c r="G6" s="2" t="inlineStr">
        <is>
          <t>Ngày</t>
        </is>
      </c>
      <c r="H6" s="2" t="inlineStr">
        <is>
          <t>Số bill mua hàng bình quân một cửa hàng trong một ngày hoạt động — thước đo traffic (không có đếm người vào cửa, nên bill là lượt khách).</t>
        </is>
      </c>
      <c r="I6" s="2" t="inlineStr">
        <is>
          <t>Tổng số bill mua (bỏ bill trả hàng) chia tổng ngày hoạt động. Minh họa: 2 cửa hàng, 14 ngày hoạt động, 11.200 bill ⇒ 800 bill/cửa hàng/ngày.</t>
        </is>
      </c>
      <c r="J6" s="2" t="inlineStr">
        <is>
          <t>Ops — mất khách ở cửa hàng nào, giờ nào (mở TG-06) → xếp ca, giờ ra hàng FF.</t>
        </is>
      </c>
      <c r="K6" s="2" t="inlineStr">
        <is>
          <t>Càng cao càng tốt</t>
        </is>
      </c>
      <c r="L6" s="2" t="inlineStr">
        <is>
          <t>Kênh kế hoạch: So với 4 mốc kế hoạch E / HE / O / O+ do Finance cấp.</t>
        </is>
      </c>
      <c r="M6" s="2" t="inlineStr">
        <is>
          <t>Kênh kế hoạch: Màu theo 4 mốc: tới E đỏ · tới HE cam · tới O xanh lá · tới O+ xanh lam · vượt O+ tím (đề xuất)</t>
        </is>
      </c>
      <c r="N6" s="2" t="inlineStr">
        <is>
          <t>Target: Finance / team CVS</t>
        </is>
      </c>
      <c r="O6" s="2" t="inlineStr">
        <is>
          <t>Có dữ liệu — có số khi cửa hàng bắt đầu bán · Chờ đưa dữ liệu CVS vào hệ thống báo cáo (đang làm, trước ngày khai trương)</t>
        </is>
      </c>
      <c r="P6" s="3" t="inlineStr"/>
      <c r="Q6" s="3" t="inlineStr"/>
      <c r="R6" s="3" t="inlineStr"/>
    </row>
    <row r="7">
      <c r="A7" s="2" t="inlineStr">
        <is>
          <t>TG-02</t>
        </is>
      </c>
      <c r="B7" s="2" t="inlineStr">
        <is>
          <t>Traffic &amp; Giỏ</t>
        </is>
      </c>
      <c r="C7" s="2" t="inlineStr">
        <is>
          <t>Giá trị bill</t>
        </is>
      </c>
      <c r="D7" s="2" t="inlineStr">
        <is>
          <t>Bill Size</t>
        </is>
      </c>
      <c r="E7" s="2" t="inlineStr">
        <is>
          <t>Core 7</t>
        </is>
      </c>
      <c r="F7" s="2" t="inlineStr">
        <is>
          <t>CMC, OPS</t>
        </is>
      </c>
      <c r="G7" s="2" t="inlineStr">
        <is>
          <t>Ngày</t>
        </is>
      </c>
      <c r="H7" s="2" t="inlineStr">
        <is>
          <t>Doanh thu bình quân của một bill — thước đo độ lớn giỏ hàng.</t>
        </is>
      </c>
      <c r="I7" s="2" t="inlineStr">
        <is>
          <t>Doanh thu chia số bill. Minh họa: 20 tr đ doanh thu, 800 bill ⇒ 25.000 đ/bill.</t>
        </is>
      </c>
      <c r="J7" s="2" t="inlineStr">
        <is>
          <t>CMC — giỏ nhỏ ở cửa hàng / nhóm nào → combo, cross-sell, xem mix ngành hàng (TG-08) và tách UPT vs giá/món (TG-05).</t>
        </is>
      </c>
      <c r="K7" s="2" t="inlineStr">
        <is>
          <t>Càng cao càng tốt</t>
        </is>
      </c>
      <c r="L7" s="2" t="inlineStr">
        <is>
          <t>Kênh kế hoạch: So với 4 mốc kế hoạch E / HE / O / O+ do Finance cấp.</t>
        </is>
      </c>
      <c r="M7" s="2" t="inlineStr">
        <is>
          <t>Kênh kế hoạch: Màu theo 4 mốc: tới E đỏ · tới HE cam · tới O xanh lá · tới O+ xanh lam · vượt O+ tím. Mốc O = target Revenue O ÷ (số ngày hoạt động plan × target Bill Per Day O) (phương án A, user 2026-10-05); mốc E / HE / O+ = mốc O × (mốc đó ÷ mốc O của Revenue) (user 2026-10-06, T20 — suy ra từng mốc làm 4 mốc trùng nhau khi Revenue và Bill Per Day cùng tỷ lệ mốc) (đề xuất)</t>
        </is>
      </c>
      <c r="N7" s="2" t="inlineStr">
        <is>
          <t>Target: không xin — suy ra</t>
        </is>
      </c>
      <c r="O7" s="2" t="inlineStr">
        <is>
          <t>Có dữ liệu — có số khi cửa hàng bắt đầu bán · Chờ đưa dữ liệu CVS vào hệ thống báo cáo (đang làm, trước ngày khai trương)</t>
        </is>
      </c>
      <c r="P7" s="3" t="inlineStr"/>
      <c r="Q7" s="3" t="inlineStr"/>
      <c r="R7" s="3" t="inlineStr"/>
    </row>
    <row r="8">
      <c r="A8" s="2" t="inlineStr">
        <is>
          <t>TG-03</t>
        </is>
      </c>
      <c r="B8" s="2" t="inlineStr">
        <is>
          <t>Traffic &amp; Giỏ</t>
        </is>
      </c>
      <c r="C8" s="2" t="inlineStr">
        <is>
          <t>Số món / bill</t>
        </is>
      </c>
      <c r="D8" s="2" t="inlineStr">
        <is>
          <t>UPT</t>
        </is>
      </c>
      <c r="E8" s="2" t="inlineStr">
        <is>
          <t>CMC · DETAIL</t>
        </is>
      </c>
      <c r="F8" s="2" t="inlineStr">
        <is>
          <t>CMC</t>
        </is>
      </c>
      <c r="G8" s="2" t="inlineStr">
        <is>
          <t>Ngày</t>
        </is>
      </c>
      <c r="H8" s="2" t="inlineStr">
        <is>
          <t>Bình quân một bill có bao nhiêu món. Tăng UPT là mục tiêu của combo, bố trí kệ mua kèm.</t>
        </is>
      </c>
      <c r="I8" s="2" t="inlineStr">
        <is>
          <t>Tổng số món chia số bill; hàng bán theo cái đếm theo số lượng, hàng cân ký mỗi dòng bill tính 1 món. Minh họa: 800 bill có 2.300 món đếm theo cái và 100 dòng hàng cân ký ⇒ UPT = 2.400 / 800 = 3,0.</t>
        </is>
      </c>
      <c r="J8" s="2" t="inlineStr">
        <is>
          <t>CMC + Store — combo / mua kèm / bố trí khu vực có đang làm khách lấy thêm món không.</t>
        </is>
      </c>
      <c r="K8" s="2" t="inlineStr">
        <is>
          <t>Càng cao càng tốt</t>
        </is>
      </c>
      <c r="L8" s="2" t="inlineStr"/>
      <c r="M8" s="2" t="inlineStr"/>
      <c r="N8" s="2" t="inlineStr"/>
      <c r="O8" s="2" t="inlineStr">
        <is>
          <t>Có dữ liệu — có số khi cửa hàng bắt đầu bán · Chờ đưa dữ liệu CVS vào hệ thống báo cáo (đang làm, trước ngày khai trương)</t>
        </is>
      </c>
      <c r="P8" s="3" t="inlineStr"/>
      <c r="Q8" s="3" t="inlineStr"/>
      <c r="R8" s="3" t="inlineStr"/>
    </row>
    <row r="9">
      <c r="A9" s="2" t="inlineStr">
        <is>
          <t>TG-04</t>
        </is>
      </c>
      <c r="B9" s="2" t="inlineStr">
        <is>
          <t>Traffic &amp; Giỏ</t>
        </is>
      </c>
      <c r="C9" s="2" t="inlineStr">
        <is>
          <t>Giá bán TB / món</t>
        </is>
      </c>
      <c r="D9" s="2" t="inlineStr">
        <is>
          <t>Avg Item Price</t>
        </is>
      </c>
      <c r="E9" s="2" t="inlineStr">
        <is>
          <t>CMC · DETAIL</t>
        </is>
      </c>
      <c r="F9" s="2" t="inlineStr">
        <is>
          <t>CMC</t>
        </is>
      </c>
      <c r="G9" s="2" t="inlineStr">
        <is>
          <t>Ngày</t>
        </is>
      </c>
      <c r="H9" s="2" t="inlineStr">
        <is>
          <t>Doanh thu bình quân của một món bán ra. Chịu tác động của mix ngành hàng (FF, đồ uống vs hàng khô), giá và khuyến mãi.</t>
        </is>
      </c>
      <c r="I9" s="2" t="inlineStr">
        <is>
          <t>Doanh thu chia tổng số món (cùng cách đếm món của UPT). Minh họa: 20 tr đ doanh thu, 2.400 món ⇒ 8.333 đ/món.</t>
        </is>
      </c>
      <c r="J9" s="2" t="inlineStr">
        <is>
          <t>CMC — giá / mix / độ sâu KM đang kéo giá mỗi món lên hay xuống; mở TG-08 để xem ngành hàng nào gây ra.</t>
        </is>
      </c>
      <c r="K9" s="2" t="inlineStr">
        <is>
          <t>Càng cao càng tốt</t>
        </is>
      </c>
      <c r="L9" s="2" t="inlineStr"/>
      <c r="M9" s="2" t="inlineStr"/>
      <c r="N9" s="2" t="inlineStr"/>
      <c r="O9" s="2" t="inlineStr">
        <is>
          <t>Có dữ liệu — có số khi cửa hàng bắt đầu bán · Chờ đưa dữ liệu CVS vào hệ thống báo cáo (đang làm, trước ngày khai trương)</t>
        </is>
      </c>
      <c r="P9" s="3" t="inlineStr"/>
      <c r="Q9" s="3" t="inlineStr"/>
      <c r="R9" s="3" t="inlineStr"/>
    </row>
    <row r="10">
      <c r="A10" s="2" t="inlineStr">
        <is>
          <t>TG-05</t>
        </is>
      </c>
      <c r="B10" s="2" t="inlineStr">
        <is>
          <t>Traffic &amp; Giỏ</t>
        </is>
      </c>
      <c r="C10" s="2" t="inlineStr">
        <is>
          <t>Tách chênh lệch giá trị bill — phần số món, phần giá/món</t>
        </is>
      </c>
      <c r="D10" s="2" t="inlineStr">
        <is>
          <t>Bill Size Gap Split</t>
        </is>
      </c>
      <c r="E10" s="2" t="inlineStr">
        <is>
          <t>CMC · DETAIL</t>
        </is>
      </c>
      <c r="F10" s="2" t="inlineStr">
        <is>
          <t>CMC</t>
        </is>
      </c>
      <c r="G10" s="2" t="inlineStr">
        <is>
          <t>Ngày</t>
        </is>
      </c>
      <c r="H10" s="2" t="inlineStr">
        <is>
          <t>Giá trị bill lệch bao nhiêu % so với mốc, trong đó bao nhiêu % do khách lấy ít / nhiều món hơn, bao nhiêu do giá mỗi món. Hai phần cộng đúng bằng tổng.</t>
        </is>
      </c>
      <c r="I10" s="2" t="inlineStr">
        <is>
          <t>Chia mức lệch của giá trị bill thành phần do số món mỗi bill và phần do giá mỗi món, theo mức đóng góp của từng phần; hai phần luôn cộng đúng bằng tổng (cùng cách với TQ-02). Minh họa: bill mốc 25.000 đ, hôm qua 23.000 đ (−8%); UPT 3,0 → 2,85, giá/món 8.333 → 8.070 đ ⇒ −8% = số món −4,9% + giá/món −3,1%.</t>
        </is>
      </c>
      <c r="J10" s="2" t="inlineStr">
        <is>
          <t>CMC — giỏ nhỏ do mất món mua kèm (combo, bố trí) hay do giá/mix (KM sâu, chuyển sang hàng rẻ).</t>
        </is>
      </c>
      <c r="K10" s="2" t="inlineStr">
        <is>
          <t>Càng cao càng tốt</t>
        </is>
      </c>
      <c r="L10" s="2" t="inlineStr">
        <is>
          <t>Kênh kế hoạch: So với 4 mốc kế hoạch E / HE / O / O+ do Finance cấp.
Snapshot CMC (Basket theo ngành): cột tách Bill Size vs plan ⇒ ⚪ no plan ở v1; UPT và Avg Item Price hiện số, không màu
from UPT — Phần chênh lệch giá trị bill do khách lấy nhiều / ít món hơn mốc. Âm ⇒ khách bỏ bớt món mua kèm: xem combo, bố trí kệ, gợi ý mua thêm. Minh họa: bill thấp hơn mốc 8%, trong đó số món −4,9% ⇒ phần lớn là do khách lấy ít món hơn.
from Avg Item Price — Phần chênh lệch giá trị bill do giá bình quân mỗi món cao / thấp hơn mốc. Âm ⇒ khách chuyển sang hàng rẻ hơn hoặc khuyến mãi giảm sâu: xem mix ngành và mức giảm giá. Minh họa: bill thấp hơn mốc 8%, trong đó giá mỗi món −3,1%; cộng với phần số món −4,9% vừa đúng −8%.
DETAIL: tách Bill Size so với tháng trước, không màu (luật 'không target ⇒ số + cột so sánh không màu'); không mang cách so này lên snapshot</t>
        </is>
      </c>
      <c r="M10" s="2" t="inlineStr">
        <is>
          <t>Kênh kế hoạch: Không tô màu riêng: Chỉ đường — 'Bill Size vs plan = from UPT + from Avg Item Price' (câu dưới tiêu đề bảng Basket CMC, T20); không có target UPT ⇒ số không màu, ghi no plan một lần</t>
        </is>
      </c>
      <c r="N10" s="2" t="inlineStr"/>
      <c r="O10" s="2" t="inlineStr">
        <is>
          <t>Có dữ liệu — có số khi cửa hàng bắt đầu bán · Chờ đưa dữ liệu CVS vào hệ thống báo cáo (đang làm, trước ngày khai trương)</t>
        </is>
      </c>
      <c r="P10" s="3" t="inlineStr"/>
      <c r="Q10" s="3" t="inlineStr"/>
      <c r="R10" s="3" t="inlineStr"/>
    </row>
    <row r="11">
      <c r="A11" s="2" t="inlineStr">
        <is>
          <t>TG-06</t>
        </is>
      </c>
      <c r="B11" s="2" t="inlineStr">
        <is>
          <t>Traffic &amp; Giỏ</t>
        </is>
      </c>
      <c r="C11" s="2" t="inlineStr">
        <is>
          <t>Bill / cửa hàng / ngày theo thứ × khung giờ</t>
        </is>
      </c>
      <c r="D11" s="2" t="inlineStr">
        <is>
          <t>Bill Per Day by Daypart</t>
        </is>
      </c>
      <c r="E11" s="2" t="inlineStr">
        <is>
          <t>OPS · DETAIL</t>
        </is>
      </c>
      <c r="F11" s="2" t="inlineStr">
        <is>
          <t>OPS</t>
        </is>
      </c>
      <c r="G11" s="2" t="inlineStr">
        <is>
          <t>Ngày</t>
        </is>
      </c>
      <c r="H11" s="2" t="inlineStr">
        <is>
          <t>Traffic của từng ô thứ trong tuần × khung giờ CVS, bình quân một cửa hàng một ngày. Mặc định hiển thị heatmap 7 thứ × 6 khung; soi được tới 24 giờ.</t>
        </is>
      </c>
      <c r="I11" s="2" t="inlineStr">
        <is>
          <t>Số bill trong ô (vd Thứ Bảy, 17–19h) chia số ngày hoạt động rơi vào Thứ Bảy. Minh họa: 4 Thứ Bảy, 2.080 bill khung 17–19h ⇒ 520 bill/cửa hàng/ngày; so với 600 cùng ô của TB cùng model ⇒ ô đỏ.</t>
        </is>
      </c>
      <c r="J11" s="2" t="inlineStr">
        <is>
          <t>Ops — xếp ca, giờ ra hàng FF, lịch nhận hàng theo khung giờ đông / vắng ở từng cửa hàng.</t>
        </is>
      </c>
      <c r="K11" s="2" t="inlineStr">
        <is>
          <t>Càng cao càng tốt</t>
        </is>
      </c>
      <c r="L11" s="2" t="inlineStr"/>
      <c r="M11" s="2" t="inlineStr"/>
      <c r="N11" s="2" t="inlineStr"/>
      <c r="O11" s="2" t="inlineStr">
        <is>
          <t>Có dữ liệu — có số khi cửa hàng bắt đầu bán · Chờ đưa dữ liệu CVS vào hệ thống báo cáo (đang làm, trước ngày khai trương)</t>
        </is>
      </c>
      <c r="P11" s="3" t="inlineStr"/>
      <c r="Q11" s="3" t="inlineStr"/>
      <c r="R11" s="3" t="inlineStr"/>
    </row>
    <row r="12">
      <c r="A12" s="2" t="inlineStr">
        <is>
          <t>TG-07</t>
        </is>
      </c>
      <c r="B12" s="2" t="inlineStr">
        <is>
          <t>Traffic &amp; Giỏ</t>
        </is>
      </c>
      <c r="C12" s="2" t="inlineStr">
        <is>
          <t>Tỷ trọng doanh thu theo khung giờ</t>
        </is>
      </c>
      <c r="D12" s="2" t="inlineStr">
        <is>
          <t>Daypart Sales Mix</t>
        </is>
      </c>
      <c r="E12" s="2" t="inlineStr">
        <is>
          <t>DETAIL</t>
        </is>
      </c>
      <c r="F12" s="2" t="inlineStr">
        <is>
          <t>OPS, CMC</t>
        </is>
      </c>
      <c r="G12" s="2" t="inlineStr">
        <is>
          <t>Ngày</t>
        </is>
      </c>
      <c r="H12" s="2" t="inlineStr">
        <is>
          <t>Mỗi khung giờ CVS (6 khung) đóng góp bao nhiêu % doanh thu ngày. Cho biết cửa hàng sống nhờ khung nào và so được với chuỗi convenience nước ngoài.</t>
        </is>
      </c>
      <c r="I12" s="2" t="inlineStr">
        <is>
          <t>Doanh thu trong khung chia doanh thu cả ngày. Minh họa: doanh thu ngày 20 tr đ, khung 11–13h 4 tr đ ⇒ 20%.</t>
        </is>
      </c>
      <c r="J12" s="2" t="inlineStr">
        <is>
          <t>Ops + CMC — dồn hàng FF / nhân sự vào khung nào; cửa hàng nào lệch hẳn cơ cấu so với model (vd sống nhờ ca tối).</t>
        </is>
      </c>
      <c r="K12" s="2" t="inlineStr">
        <is>
          <t>Càng gần mốc càng tốt</t>
        </is>
      </c>
      <c r="L12" s="2" t="inlineStr">
        <is>
          <t>biểu đồ cơ cấu, không màu</t>
        </is>
      </c>
      <c r="M12" s="2" t="inlineStr"/>
      <c r="N12" s="2" t="inlineStr"/>
      <c r="O12" s="2" t="inlineStr">
        <is>
          <t>Có dữ liệu — có số khi cửa hàng bắt đầu bán · Chờ đưa dữ liệu CVS vào hệ thống báo cáo (đang làm, trước ngày khai trương)</t>
        </is>
      </c>
      <c r="P12" s="3" t="inlineStr"/>
      <c r="Q12" s="3" t="inlineStr"/>
      <c r="R12" s="3" t="inlineStr"/>
    </row>
    <row r="13">
      <c r="A13" s="2" t="inlineStr">
        <is>
          <t>TG-08</t>
        </is>
      </c>
      <c r="B13" s="2" t="inlineStr">
        <is>
          <t>Traffic &amp; Giỏ</t>
        </is>
      </c>
      <c r="C13" s="2" t="inlineStr">
        <is>
          <t>Tỷ trọng doanh thu theo ngành hàng</t>
        </is>
      </c>
      <c r="D13" s="2" t="inlineStr">
        <is>
          <t>Revenue Mix</t>
        </is>
      </c>
      <c r="E13" s="2" t="inlineStr">
        <is>
          <t>CMC · DETAIL</t>
        </is>
      </c>
      <c r="F13" s="2" t="inlineStr">
        <is>
          <t>CMC</t>
        </is>
      </c>
      <c r="G13" s="2" t="inlineStr">
        <is>
          <t>Ngày</t>
        </is>
      </c>
      <c r="H13" s="2" t="inlineStr">
        <is>
          <t>Mỗi ngành hàng (MCH) chiếm bao nhiêu % doanh thu. Giải thích vì sao giá trị bill / giá TB mỗi món đổi.</t>
        </is>
      </c>
      <c r="I13" s="2" t="inlineStr">
        <is>
          <t>Doanh thu ngành hàng chia tổng doanh thu. Minh họa: đồ uống 6 tr đ trên 20 tr đ ⇒ 30%.</t>
        </is>
      </c>
      <c r="J13" s="2" t="inlineStr">
        <is>
          <t>CMC — ngành hàng nào đang co / nở so với model; vai trò ngành hàng, diện tích kệ.</t>
        </is>
      </c>
      <c r="K13" s="2" t="inlineStr">
        <is>
          <t>Càng gần mốc càng tốt</t>
        </is>
      </c>
      <c r="L13" s="2" t="inlineStr">
        <is>
          <t>biểu đồ cơ cấu, không màu</t>
        </is>
      </c>
      <c r="M13" s="2" t="inlineStr"/>
      <c r="N13" s="2" t="inlineStr"/>
      <c r="O13" s="2" t="inlineStr">
        <is>
          <t>Có dữ liệu — có số khi cửa hàng bắt đầu bán · Chờ đưa dữ liệu CVS vào hệ thống báo cáo (đang làm, trước ngày khai trương)</t>
        </is>
      </c>
      <c r="P13" s="3" t="inlineStr"/>
      <c r="Q13" s="3" t="inlineStr"/>
      <c r="R13" s="3" t="inlineStr"/>
    </row>
    <row r="14">
      <c r="A14" s="2" t="inlineStr">
        <is>
          <t>TG-09</t>
        </is>
      </c>
      <c r="B14" s="2" t="inlineStr">
        <is>
          <t>Traffic &amp; Giỏ</t>
        </is>
      </c>
      <c r="C14" s="2" t="inlineStr">
        <is>
          <t>Tỷ lệ bill có ngành hàng</t>
        </is>
      </c>
      <c r="D14" s="2" t="inlineStr">
        <is>
          <t>Penetration %</t>
        </is>
      </c>
      <c r="E14" s="2" t="inlineStr">
        <is>
          <t>Cột hàng ngành · DETAIL</t>
        </is>
      </c>
      <c r="F14" s="2" t="inlineStr">
        <is>
          <t>CMC</t>
        </is>
      </c>
      <c r="G14" s="2" t="inlineStr">
        <is>
          <t>Ngày</t>
        </is>
      </c>
      <c r="H14" s="2" t="inlineStr">
        <is>
          <t>Bao nhiêu % bill có ít nhất một món thuộc ngành hàng. Phân biệt ngành hàng kéo khách (có mặt trong nhiều bill) với ngành hàng tạo giá trị.</t>
        </is>
      </c>
      <c r="I14" s="2" t="inlineStr">
        <is>
          <t>Số bill có món thuộc ngành hàng chia tổng số bill của cửa hàng. Minh họa: 800 bill, 240 bill có đồ uống ⇒ 30%.</t>
        </is>
      </c>
      <c r="J14" s="2" t="inlineStr">
        <is>
          <t>CMC — xếp vai trò ngành hàng (kéo khách vs biên), chọn ngành hàng làm combo / mua kèm; Ops thấy FF có đang vào bill giờ cao điểm không.</t>
        </is>
      </c>
      <c r="K14" s="2" t="inlineStr">
        <is>
          <t>Càng cao càng tốt</t>
        </is>
      </c>
      <c r="L14" s="2" t="inlineStr"/>
      <c r="M14" s="2" t="inlineStr"/>
      <c r="N14" s="2" t="inlineStr"/>
      <c r="O14" s="2" t="inlineStr">
        <is>
          <t>Có dữ liệu — có số khi cửa hàng bắt đầu bán · Chờ đưa dữ liệu CVS vào hệ thống báo cáo (đang làm, trước ngày khai trương)</t>
        </is>
      </c>
      <c r="P14" s="3" t="inlineStr"/>
      <c r="Q14" s="3" t="inlineStr"/>
      <c r="R14" s="3" t="inlineStr"/>
    </row>
    <row r="15">
      <c r="A15" s="2" t="inlineStr">
        <is>
          <t>BS-01</t>
        </is>
      </c>
      <c r="B15" s="2" t="inlineStr">
        <is>
          <t>Biên &amp; S&amp;L</t>
        </is>
      </c>
      <c r="C15" s="2" t="inlineStr">
        <is>
          <t>Front margin %</t>
        </is>
      </c>
      <c r="D15" s="2" t="inlineStr">
        <is>
          <t>Front Margin %</t>
        </is>
      </c>
      <c r="E15" s="2" t="inlineStr">
        <is>
          <t>DETAIL</t>
        </is>
      </c>
      <c r="F15" s="2" t="inlineStr">
        <is>
          <t>CMC, Finance</t>
        </is>
      </c>
      <c r="G15" s="2" t="inlineStr">
        <is>
          <t>Ngày</t>
        </is>
      </c>
      <c r="H15" s="2" t="inlineStr">
        <is>
          <t>Phần trăm lãi gộp trên doanh thu ngay tại quầy (doanh thu trừ giá vốn hàng bán), trước S&amp;L. Độ sâu khuyến mãi đã chìm trong số này.</t>
        </is>
      </c>
      <c r="I15" s="2" t="inlineStr">
        <is>
          <t>Front margin chia doanh thu. Minh họa: doanh thu 20 tr đ, front margin 5 tr đ ⇒ 25%.</t>
        </is>
      </c>
      <c r="J15" s="2" t="inlineStr">
        <is>
          <t>CMC — giá, mix ngành hàng, độ sâu KM ở cửa hàng / nhóm nào đang ăn vào biên.</t>
        </is>
      </c>
      <c r="K15" s="2" t="inlineStr">
        <is>
          <t>Càng cao càng tốt</t>
        </is>
      </c>
      <c r="L15" s="2" t="inlineStr"/>
      <c r="M15" s="2" t="inlineStr"/>
      <c r="N15" s="2" t="inlineStr"/>
      <c r="O15" s="2" t="inlineStr">
        <is>
          <t>Có dữ liệu — có số khi cửa hàng bắt đầu bán · Chờ đưa dữ liệu CVS vào hệ thống báo cáo (đang làm, trước ngày khai trương)</t>
        </is>
      </c>
      <c r="P15" s="3" t="inlineStr"/>
      <c r="Q15" s="3" t="inlineStr"/>
      <c r="R15" s="3" t="inlineStr"/>
    </row>
    <row r="16">
      <c r="A16" s="2" t="inlineStr">
        <is>
          <t>BS-02</t>
        </is>
      </c>
      <c r="B16" s="2" t="inlineStr">
        <is>
          <t>Biên &amp; S&amp;L</t>
        </is>
      </c>
      <c r="C16" s="2" t="inlineStr">
        <is>
          <t>Margin after S&amp;L %</t>
        </is>
      </c>
      <c r="D16" s="2" t="inlineStr">
        <is>
          <t>Margin after S&amp;L %</t>
        </is>
      </c>
      <c r="E16" s="2" t="inlineStr">
        <is>
          <t>Core 7</t>
        </is>
      </c>
      <c r="F16" s="2" t="inlineStr">
        <is>
          <t>CMC, OPS, Finance</t>
        </is>
      </c>
      <c r="G16" s="2" t="inlineStr">
        <is>
          <t>Ngày</t>
        </is>
      </c>
      <c r="H16" s="2" t="inlineStr">
        <is>
          <t>Front margin còn lại sau khi trừ S&amp;L loại SHRINKAGE và LOSS, tính trên doanh thu. Là số chuỗi convenience tối ưu thật (lãi gộp sau hủy hàng), không phải doanh thu. KHÔNG phải Gross Profit của P&amp;L.</t>
        </is>
      </c>
      <c r="I16" s="2" t="inlineStr">
        <is>
          <t>(Front margin − SHRINKAGE − LOSS) chia doanh thu. Minh họa: doanh thu 20 tr đ, front margin 5 tr đ, SHRINKAGE 0,5 tr đ, LOSS 0,1 tr đ ⇒ (5 − 0,6) / 20 = 22%, tức biên giảm 3 điểm % vì S&amp;L (từ 25% xuống 22%).</t>
        </is>
      </c>
      <c r="J16" s="2" t="inlineStr">
        <is>
          <t>CMC + Store Ops — cửa hàng / nhóm nào tụt biên thật, do giá-mix (mở B1) hay do hủy-mất (mở B2 / B3).</t>
        </is>
      </c>
      <c r="K16" s="2" t="inlineStr">
        <is>
          <t>Càng cao càng tốt</t>
        </is>
      </c>
      <c r="L16" s="2" t="inlineStr">
        <is>
          <t>Kênh kế hoạch: So với 4 mốc kế hoạch E / HE / O / O+ do Finance cấp.</t>
        </is>
      </c>
      <c r="M16" s="2" t="inlineStr">
        <is>
          <t>Kênh kế hoạch: Màu theo 4 mốc: tới E đỏ · tới HE cam · tới O xanh lá · tới O+ xanh lam · vượt O+ tím (đề xuất)</t>
        </is>
      </c>
      <c r="N16" s="2" t="inlineStr">
        <is>
          <t>Target: Finance / team CVS</t>
        </is>
      </c>
      <c r="O16" s="2" t="inlineStr">
        <is>
          <t>Có dữ liệu — có số khi cửa hàng bắt đầu bán · Chờ đưa dữ liệu CVS vào hệ thống báo cáo (đang làm, trước ngày khai trương)</t>
        </is>
      </c>
      <c r="P16" s="3" t="inlineStr"/>
      <c r="Q16" s="3" t="inlineStr"/>
      <c r="R16" s="3" t="inlineStr"/>
    </row>
    <row r="17">
      <c r="A17" s="2" t="inlineStr">
        <is>
          <t>BS-03</t>
        </is>
      </c>
      <c r="B17" s="2" t="inlineStr">
        <is>
          <t>Biên &amp; S&amp;L</t>
        </is>
      </c>
      <c r="C17" s="2" t="inlineStr">
        <is>
          <t>Tỷ lệ SHRINKAGE trên doanh thu</t>
        </is>
      </c>
      <c r="D17" s="2" t="inlineStr">
        <is>
          <t>Shrinkage %</t>
        </is>
      </c>
      <c r="E17" s="2" t="inlineStr">
        <is>
          <t>DETAIL</t>
        </is>
      </c>
      <c r="F17" s="2" t="inlineStr">
        <is>
          <t>OPS, CMC</t>
        </is>
      </c>
      <c r="G17" s="2" t="inlineStr">
        <is>
          <t>Ngày</t>
        </is>
      </c>
      <c r="H17" s="2" t="inlineStr">
        <is>
          <t>Giá trị hàng hủy (hỏng, hao hụt, cận / hết date, hủy thông thường…) trên doanh thu — trừ Claim. Với CVS nhiều hàng tươi và FF, đây là số quyết định đặt hàng.</t>
        </is>
      </c>
      <c r="I17" s="2" t="inlineStr">
        <is>
          <t>Giá trị S&amp;L loại SHRINKAGE chia doanh thu. Minh họa: hủy 0,5 tr đ trên doanh thu 20 tr đ ⇒ 2,5%; xem mã nào (208 hết date, 2 hỏng…) và ngành hàng nào gây ra.</t>
        </is>
      </c>
      <c r="J17" s="2" t="inlineStr">
        <is>
          <t>Store Ops + CMC — giảm số lượng đặt, giờ giảm giá cuối ngày, SKU / MCH FF nào hủy nhiều.</t>
        </is>
      </c>
      <c r="K17" s="2" t="inlineStr">
        <is>
          <t>Càng thấp càng tốt</t>
        </is>
      </c>
      <c r="L17" s="2" t="inlineStr"/>
      <c r="M17" s="2" t="inlineStr"/>
      <c r="N17" s="2" t="inlineStr"/>
      <c r="O17" s="2" t="inlineStr">
        <is>
          <t>Có dữ liệu — có số khi cửa hàng bắt đầu bán</t>
        </is>
      </c>
      <c r="P17" s="3" t="inlineStr"/>
      <c r="Q17" s="3" t="inlineStr"/>
      <c r="R17" s="3" t="inlineStr"/>
    </row>
    <row r="18">
      <c r="A18" s="2" t="inlineStr">
        <is>
          <t>BS-04</t>
        </is>
      </c>
      <c r="B18" s="2" t="inlineStr">
        <is>
          <t>Biên &amp; S&amp;L</t>
        </is>
      </c>
      <c r="C18" s="2" t="inlineStr">
        <is>
          <t>Tỷ lệ LOSS trên doanh thu</t>
        </is>
      </c>
      <c r="D18" s="2" t="inlineStr">
        <is>
          <t>Loss %</t>
        </is>
      </c>
      <c r="E18" s="2" t="inlineStr">
        <is>
          <t>DETAIL</t>
        </is>
      </c>
      <c r="F18" s="2" t="inlineStr">
        <is>
          <t>OPS</t>
        </is>
      </c>
      <c r="G18" s="2" t="inlineStr">
        <is>
          <t>Ngày</t>
        </is>
      </c>
      <c r="H18" s="2" t="inlineStr">
        <is>
          <t>Giá trị hàng mất (chênh lệch kiểm kê CLKK và mất cắp) trên doanh thu. Phát sinh theo đợt kiểm kê, không đều theo ngày.</t>
        </is>
      </c>
      <c r="I18" s="2" t="inlineStr">
        <is>
          <t>Giá trị S&amp;L loại LOSS chia doanh thu cùng kỳ. Minh họa: đợt kiểm kê tháng lệch 0,4 tr đ, doanh thu tháng 600 tr đ ⇒ 0,07%.</t>
        </is>
      </c>
      <c r="J18" s="2" t="inlineStr">
        <is>
          <t>Ops / chống thất thoát — cửa hàng nào cần siết an ninh, kiểm kê lại, kỷ luật nhận hàng.</t>
        </is>
      </c>
      <c r="K18" s="2" t="inlineStr">
        <is>
          <t>Càng thấp càng tốt</t>
        </is>
      </c>
      <c r="L18" s="2" t="inlineStr"/>
      <c r="M18" s="2" t="inlineStr"/>
      <c r="N18" s="2" t="inlineStr"/>
      <c r="O18" s="2" t="inlineStr">
        <is>
          <t>Có dữ liệu — có số khi cửa hàng bắt đầu bán</t>
        </is>
      </c>
      <c r="P18" s="3" t="inlineStr"/>
      <c r="Q18" s="3" t="inlineStr"/>
      <c r="R18" s="3" t="inlineStr"/>
    </row>
    <row r="19">
      <c r="A19" s="2" t="inlineStr">
        <is>
          <t>BS-05</t>
        </is>
      </c>
      <c r="B19" s="2" t="inlineStr">
        <is>
          <t>Biên &amp; S&amp;L</t>
        </is>
      </c>
      <c r="C19" s="2" t="inlineStr">
        <is>
          <t>Tỷ lệ bill trả hàng</t>
        </is>
      </c>
      <c r="D19" s="2" t="inlineStr">
        <is>
          <t>Return Bill Rate</t>
        </is>
      </c>
      <c r="E19" s="2" t="inlineStr">
        <is>
          <t>Để sau</t>
        </is>
      </c>
      <c r="F19" s="2" t="inlineStr">
        <is>
          <t>OPS</t>
        </is>
      </c>
      <c r="G19" s="2" t="inlineStr">
        <is>
          <t>Ngày</t>
        </is>
      </c>
      <c r="H19" s="2" t="inlineStr">
        <is>
          <t>Phần trăm bill là bill trả hàng (hoàn tiền), cắt theo cửa hàng × khung giờ. CVS 24/7 ca đêm thường chỉ 1 nhân viên ⇒ hoàn tiền / hủy bill bất thường ở một ca là điểm kiểm soát gian lận thu ngân kinh điển.</t>
        </is>
      </c>
      <c r="I19" s="2" t="inlineStr">
        <is>
          <t>Số bill trả hàng chia số bill mua, theo từng cửa hàng × khung giờ. Minh họa: khung 0–5h có 40 bill mua và 3 bill trả ⇒ 7,5%, trong khi các khung khác của cửa hàng ~0,4% ⇒ ô đỏ, Ops xem ca đó.</t>
        </is>
      </c>
      <c r="J19" s="2" t="inlineStr">
        <is>
          <t>Ops / chống thất thoát — điều tra thu ngân – ca nào có trả hàng / hủy bill bất thường.</t>
        </is>
      </c>
      <c r="K19" s="2" t="inlineStr">
        <is>
          <t>Càng thấp càng tốt</t>
        </is>
      </c>
      <c r="L19" s="2" t="inlineStr"/>
      <c r="M19" s="2" t="inlineStr"/>
      <c r="N19" s="2" t="inlineStr"/>
      <c r="O19" s="2" t="inlineStr">
        <is>
          <t>Có dữ liệu — có số khi cửa hàng bắt đầu bán</t>
        </is>
      </c>
      <c r="P19" s="3" t="inlineStr"/>
      <c r="Q19" s="3" t="inlineStr"/>
      <c r="R19" s="3" t="inlineStr"/>
    </row>
    <row r="20">
      <c r="A20" s="2" t="inlineStr">
        <is>
          <t>HH-01</t>
        </is>
      </c>
      <c r="B20" s="2" t="inlineStr">
        <is>
          <t>Hàng hóa &amp; Availability</t>
        </is>
      </c>
      <c r="C20" s="2" t="inlineStr">
        <is>
          <t>Tỷ lệ hết hàng core SKU</t>
        </is>
      </c>
      <c r="D20" s="2" t="inlineStr">
        <is>
          <t>OOS Rate (Core SKU)</t>
        </is>
      </c>
      <c r="E20" s="2" t="inlineStr">
        <is>
          <t>Ngưng ở v1</t>
        </is>
      </c>
      <c r="F20" s="2" t="inlineStr">
        <is>
          <t>OPS, CMC</t>
        </is>
      </c>
      <c r="G20" s="2" t="inlineStr">
        <is>
          <t>Ngày</t>
        </is>
      </c>
      <c r="H20" s="2" t="inlineStr">
        <is>
          <t>Phần trăm SKU core (danh mục assortment lớp CORE1–3) đã từng về hàng mà hết tồn cuối ngày. Đo hàng trống kệ trên chính danh mục CMC giao cho cửa hàng.</t>
        </is>
      </c>
      <c r="I20" s="2" t="inlineStr">
        <is>
          <t>Đếm SKU core hết tồn cuối ngày chia tổng SKU core đã từng có tồn của cửa hàng. Minh họa: cửa hàng có 1.200 SKU core đã từng về hàng, 66 SKU tồn = 0 cuối ngày ⇒ 5,5%; mở danh sách 66 SKU theo MCH.</t>
        </is>
      </c>
      <c r="J20" s="2" t="inlineStr">
        <is>
          <t>Ops / Supply — bổ sung hàng, sửa tham số đặt hàng (min / max, chu kỳ giao) cho SKU / MCH hay hết.</t>
        </is>
      </c>
      <c r="K20" s="2" t="inlineStr">
        <is>
          <t>Càng thấp càng tốt</t>
        </is>
      </c>
      <c r="L20" s="2" t="inlineStr">
        <is>
          <t>Kênh bất thường: So với mức giữa của các cửa hàng cùng mô hình; chưa đủ dữ liệu thì so với cùng thứ của các tuần trước.</t>
        </is>
      </c>
      <c r="M20" s="2" t="inlineStr">
        <is>
          <t>Kênh bất thường: Watch khi xấu hơn mốc từ 2 điểm % · Action từ 4 điểm % — vd mốc 10%: Watch khi từ 12%, Action khi từ 14% (đề xuất)</t>
        </is>
      </c>
      <c r="N20" s="2" t="inlineStr"/>
      <c r="O20" s="2" t="inlineStr">
        <is>
          <t>Có dữ liệu — có số khi cửa hàng bắt đầu bán · Chờ đưa dữ liệu CVS vào hệ thống báo cáo (đang làm, trước ngày khai trương)</t>
        </is>
      </c>
      <c r="P20" s="3" t="inlineStr"/>
      <c r="Q20" s="3" t="inlineStr"/>
      <c r="R20" s="3" t="inlineStr"/>
    </row>
    <row r="21">
      <c r="A21" s="2" t="inlineStr">
        <is>
          <t>HH-02</t>
        </is>
      </c>
      <c r="B21" s="2" t="inlineStr">
        <is>
          <t>Hàng hóa &amp; Availability</t>
        </is>
      </c>
      <c r="C21" s="2" t="inlineStr">
        <is>
          <t>Core SKU hết hàng nhiều ngày liền</t>
        </is>
      </c>
      <c r="D21" s="2" t="inlineStr">
        <is>
          <t>Prolonged OOS SKUs</t>
        </is>
      </c>
      <c r="E21" s="2" t="inlineStr">
        <is>
          <t>Ngưng ở v1</t>
        </is>
      </c>
      <c r="F21" s="2" t="inlineStr">
        <is>
          <t>CMC, OPS</t>
        </is>
      </c>
      <c r="G21" s="2" t="inlineStr">
        <is>
          <t>Ngày</t>
        </is>
      </c>
      <c r="H21" s="2" t="inlineStr">
        <is>
          <t>Số SKU core đã hết tồn liên tục ≥ N = 3 ngày tính tới D-1. Đo độ kéo dài của hết hàng — nguồn nghiên cứu khuyên đo thời gian OOS, không chỉ tỷ lệ tại một thời điểm.</t>
        </is>
      </c>
      <c r="I21" s="2" t="inlineStr">
        <is>
          <t>Đếm core SKU có tồn ≤ 0 liên tục từ N ngày trở lên. Minh họa: N = 3; cửa hàng có 8 core SKU hết từ 3 ngày trở lên, 2 trong đó đã 7 ngày ⇒ 8 SKU, xếp theo số ngày.</t>
        </is>
      </c>
      <c r="J21" s="2" t="inlineStr">
        <is>
          <t>Supply / CMC — SKU nào phải đẩy NCC / DC, SKU nào thực ra đã ngừng cung cấp cần delist hoặc thay.</t>
        </is>
      </c>
      <c r="K21" s="2" t="inlineStr">
        <is>
          <t>Càng thấp càng tốt</t>
        </is>
      </c>
      <c r="L21" s="2" t="inlineStr">
        <is>
          <t>Kênh bất thường: So với mức giữa của các cửa hàng cùng mô hình; chưa đủ dữ liệu thì so với cùng thứ của các tuần trước.</t>
        </is>
      </c>
      <c r="M21" s="2" t="inlineStr">
        <is>
          <t>Kênh bất thường: Watch khi số SKU nhiều hơn mốc từ 20% · Action từ 50% (đề xuất)</t>
        </is>
      </c>
      <c r="N21" s="2" t="inlineStr"/>
      <c r="O21" s="2" t="inlineStr">
        <is>
          <t>Có dữ liệu — có số khi cửa hàng bắt đầu bán · Chờ đưa dữ liệu CVS vào hệ thống báo cáo (đang làm, trước ngày khai trương)</t>
        </is>
      </c>
      <c r="P21" s="3" t="inlineStr"/>
      <c r="Q21" s="3" t="inlineStr"/>
      <c r="R21" s="3" t="inlineStr"/>
    </row>
    <row r="22">
      <c r="A22" s="2" t="inlineStr">
        <is>
          <t>HH-03</t>
        </is>
      </c>
      <c r="B22" s="2" t="inlineStr">
        <is>
          <t>Hàng hóa &amp; Availability</t>
        </is>
      </c>
      <c r="C22" s="2" t="inlineStr">
        <is>
          <t>Số ngày đủ bán</t>
        </is>
      </c>
      <c r="D22" s="2" t="inlineStr">
        <is>
          <t>Days of Cover</t>
        </is>
      </c>
      <c r="E22" s="2" t="inlineStr">
        <is>
          <t>Ngưng ở v1</t>
        </is>
      </c>
      <c r="F22" s="2" t="inlineStr">
        <is>
          <t>CMC, OPS, Finance</t>
        </is>
      </c>
      <c r="G22" s="2" t="inlineStr">
        <is>
          <t>Ngày</t>
        </is>
      </c>
      <c r="H22" s="2" t="inlineStr">
        <is>
          <t>Số lượng tồn hiện tại đủ bán bao nhiêu ngày với tốc độ bán bình quân gần đây. Cao = tồn thừa, chôn vốn và tăng hủy; thấp = nguy cơ hết.</t>
        </is>
      </c>
      <c r="I22" s="2" t="inlineStr">
        <is>
          <t>Số lượng tồn chia số lượng bán bình quân một ngày trong 30 ngày gần nhất. Minh họa: SKU tồn 60 món, 30 ngày bán 90 món (3 món/ngày) ⇒ 20 ngày.</t>
        </is>
      </c>
      <c r="J22" s="2" t="inlineStr">
        <is>
          <t>CMC / Supply — MCH / SKU nào tồn thừa (giảm đặt, giải tồn, delist), cửa hàng nào thiếu tồn đệm.</t>
        </is>
      </c>
      <c r="K22" s="2" t="inlineStr">
        <is>
          <t>Càng gần mốc càng tốt</t>
        </is>
      </c>
      <c r="L22" s="2" t="inlineStr">
        <is>
          <t>Kênh kế hoạch: So với kế hoạch tháng, lũy kế tới hôm qua.
Kênh bất thường: So với mức giữa của các cửa hàng cùng mô hình.</t>
        </is>
      </c>
      <c r="M22" s="2" t="inlineStr">
        <is>
          <t>Kênh kế hoạch: OK khi đạt từ 100% · Watch 95–100% · Action dưới 95% (đề xuất)
Kênh bất thường: Watch khi xấu hơn mốc từ 20% · Action từ 40% (cả hai chiều) (đề xuất)</t>
        </is>
      </c>
      <c r="N22" s="2" t="inlineStr">
        <is>
          <t>Target: team CVS</t>
        </is>
      </c>
      <c r="O22" s="2" t="inlineStr">
        <is>
          <t>Có dữ liệu — có số khi cửa hàng bắt đầu bán · Chờ đưa dữ liệu CVS vào hệ thống báo cáo (đang làm, trước ngày khai trương)</t>
        </is>
      </c>
      <c r="P22" s="3" t="inlineStr"/>
      <c r="Q22" s="3" t="inlineStr"/>
      <c r="R22" s="3" t="inlineStr"/>
    </row>
    <row r="23">
      <c r="A23" s="2" t="inlineStr">
        <is>
          <t>HH-04</t>
        </is>
      </c>
      <c r="B23" s="2" t="inlineStr">
        <is>
          <t>Hàng hóa &amp; Availability</t>
        </is>
      </c>
      <c r="C23" s="2" t="inlineStr">
        <is>
          <t>Tỷ lệ giao đủ theo đơn</t>
        </is>
      </c>
      <c r="D23" s="2" t="inlineStr">
        <is>
          <t>Fill Rate</t>
        </is>
      </c>
      <c r="E23" s="2" t="inlineStr">
        <is>
          <t>DETAIL</t>
        </is>
      </c>
      <c r="F23" s="2" t="inlineStr">
        <is>
          <t>OPS, CMC</t>
        </is>
      </c>
      <c r="G23" s="2" t="inlineStr">
        <is>
          <t>Ngày</t>
        </is>
      </c>
      <c r="H23" s="2" t="inlineStr">
        <is>
          <t>Số lượng thực nhận (GR) chia số lượng đặt (PO) của các đơn đến hạn giao. Thấp = NCC / DC giao thiếu, kéo theo hết hàng ở cửa hàng.</t>
        </is>
      </c>
      <c r="I23" s="2" t="inlineStr">
        <is>
          <t>Số lượng nhận chia số lượng đặt của các đơn có ngày giao dự kiến trong kỳ. Minh họa: 7 ngày đặt 10.000 món, nhận 9.200 ⇒ 92%; mở theo NCC / DC và MCH.</t>
        </is>
      </c>
      <c r="J23" s="2" t="inlineStr">
        <is>
          <t>Supply — NCC / DC nào giao thiếu, cần làm việc lại hoặc đổi nguồn; giải thích OOS ở HH-01 / HH-02.</t>
        </is>
      </c>
      <c r="K23" s="2" t="inlineStr">
        <is>
          <t>Càng cao càng tốt</t>
        </is>
      </c>
      <c r="L23" s="2" t="inlineStr">
        <is>
          <t>Kênh kế hoạch: So với 4 mốc kế hoạch E / HE / O / O+ do Finance cấp.</t>
        </is>
      </c>
      <c r="M23" s="2" t="inlineStr">
        <is>
          <t>Kênh kế hoạch: Màu theo 4 mốc: tới E đỏ · tới HE cam · tới O xanh lá · tới O+ xanh lam · vượt O+ tím. v1 chưa xin target ⇒ ⚪ no plan (đề xuất)</t>
        </is>
      </c>
      <c r="N23" s="2" t="inlineStr"/>
      <c r="O23" s="2" t="inlineStr">
        <is>
          <t>Có dữ liệu — có số khi cửa hàng bắt đầu bán</t>
        </is>
      </c>
      <c r="P23" s="3" t="inlineStr"/>
      <c r="Q23" s="3" t="inlineStr"/>
      <c r="R23" s="3" t="inlineStr"/>
    </row>
    <row r="24">
      <c r="A24" s="2" t="inlineStr">
        <is>
          <t>HH-05</t>
        </is>
      </c>
      <c r="B24" s="2" t="inlineStr">
        <is>
          <t>Hàng hóa &amp; Availability</t>
        </is>
      </c>
      <c r="C24" s="2" t="inlineStr">
        <is>
          <t>SKU tồn mà không bán</t>
        </is>
      </c>
      <c r="D24" s="2" t="inlineStr">
        <is>
          <t>Dead Stock SKUs</t>
        </is>
      </c>
      <c r="E24" s="2" t="inlineStr">
        <is>
          <t>DETAIL</t>
        </is>
      </c>
      <c r="F24" s="2" t="inlineStr">
        <is>
          <t>CMC</t>
        </is>
      </c>
      <c r="G24" s="2" t="inlineStr">
        <is>
          <t>Ngày</t>
        </is>
      </c>
      <c r="H24" s="2" t="inlineStr">
        <is>
          <t>Số SKU còn tồn &gt; 0 nhưng không bán trong N = 28 ngày gần nhất (kèm giá trị tồn). Là ứng viên delist / giải tồn — CVS diện tích nhỏ, mỗi mặt kệ đều đắt.</t>
        </is>
      </c>
      <c r="I24" s="2" t="inlineStr">
        <is>
          <t>Đếm SKU có tồn mà 0 bán trong N ngày. Minh họa: N = 28; cửa hàng Mini có 45 SKU như vậy, tồn 12 tr đ ⇒ CMC xét delist / chuyển cửa hàng.</t>
        </is>
      </c>
      <c r="J24" s="2" t="inlineStr">
        <is>
          <t>CMC — delist, chuyển hàng sang cửa hàng khác, giải tồn; sửa assortment theo model.</t>
        </is>
      </c>
      <c r="K24" s="2" t="inlineStr">
        <is>
          <t>Càng thấp càng tốt</t>
        </is>
      </c>
      <c r="L24" s="2" t="inlineStr"/>
      <c r="M24" s="2" t="inlineStr"/>
      <c r="N24" s="2" t="inlineStr"/>
      <c r="O24" s="2" t="inlineStr">
        <is>
          <t>Cần đủ lịch sử mới có số · Chờ đưa dữ liệu CVS vào hệ thống báo cáo (đang làm, trước ngày khai trương)</t>
        </is>
      </c>
      <c r="P24" s="3" t="inlineStr"/>
      <c r="Q24" s="3" t="inlineStr"/>
      <c r="R24" s="3" t="inlineStr"/>
    </row>
    <row r="25">
      <c r="A25" s="2" t="inlineStr">
        <is>
          <t>HH-09</t>
        </is>
      </c>
      <c r="B25" s="2" t="inlineStr">
        <is>
          <t>Hàng hóa &amp; Availability</t>
        </is>
      </c>
      <c r="C25" s="2" t="inlineStr">
        <is>
          <t>Tỷ lệ thực thi danh mục</t>
        </is>
      </c>
      <c r="D25" s="2" t="inlineStr">
        <is>
          <t>Assortment Execution %</t>
        </is>
      </c>
      <c r="E25" s="2" t="inlineStr">
        <is>
          <t>Ngưng ở v1</t>
        </is>
      </c>
      <c r="F25" s="2" t="inlineStr">
        <is>
          <t>CMC, OPS</t>
        </is>
      </c>
      <c r="G25" s="2" t="inlineStr">
        <is>
          <t>Ngày</t>
        </is>
      </c>
      <c r="H25" s="2" t="inlineStr">
        <is>
          <t>Phần trăm SKU core trong danh mục của cửa hàng đã từng về tới cửa hàng (có tồn &gt; 0 ít nhất một lần kể từ ngày vào danh mục). Trả lời "danh mục giao bao nhiêu SKU, lên kệ được bao nhiêu" — câu hỏi số 1 của tuần khai trương.</t>
        </is>
      </c>
      <c r="I25" s="2" t="inlineStr">
        <is>
          <t>SKU core đã từng có tồn chia tổng SKU core trong danh mục của cửa hàng, tại ngày giao dịch. Minh họa: cửa hàng Flagship được giao 1.790 SKU, 1.610 SKU đã từng về hàng ⇒ 89,9%; mở danh sách 180 SKU chưa về theo MCH / NCC.</t>
        </is>
      </c>
      <c r="J25" s="2" t="inlineStr">
        <is>
          <t>CMC + Supply — SKU được chọn vào danh mục mà không tới kệ (lỗi listing, đặt hàng, NCC) — sửa listing, đẩy đơn đầu, hoặc gỡ khỏi danh mục.</t>
        </is>
      </c>
      <c r="K25" s="2" t="inlineStr">
        <is>
          <t>Càng cao càng tốt</t>
        </is>
      </c>
      <c r="L25" s="2" t="inlineStr">
        <is>
          <t>Kênh kế hoạch: So với kế hoạch tháng, lũy kế tới hôm qua.
Kênh bất thường: So với mức giữa của các cửa hàng cùng mô hình; chưa đủ dữ liệu thì so với cùng thứ của các tuần trước.</t>
        </is>
      </c>
      <c r="M25" s="2" t="inlineStr">
        <is>
          <t>Kênh kế hoạch: OK khi đạt từ 100% · Watch 95–100% · Action dưới 95% (đề xuất)
Kênh bất thường: Watch khi xấu hơn mốc từ 2 điểm % · Action từ 4 điểm % — vd mốc 10%: Watch khi dưới 8%, Action khi dưới 6% (đề xuất)</t>
        </is>
      </c>
      <c r="N25" s="2" t="inlineStr">
        <is>
          <t>Target: CMC (nếu đặt target)</t>
        </is>
      </c>
      <c r="O25" s="2" t="inlineStr">
        <is>
          <t>Có dữ liệu — có số khi cửa hàng bắt đầu bán · Chờ đưa dữ liệu CVS vào hệ thống báo cáo (đang làm, trước ngày khai trương)</t>
        </is>
      </c>
      <c r="P25" s="3" t="inlineStr"/>
      <c r="Q25" s="3" t="inlineStr"/>
      <c r="R25" s="3" t="inlineStr"/>
    </row>
    <row r="26">
      <c r="A26" s="2" t="inlineStr">
        <is>
          <t>HH-12</t>
        </is>
      </c>
      <c r="B26" s="2" t="inlineStr">
        <is>
          <t>Hàng hóa &amp; Availability</t>
        </is>
      </c>
      <c r="C26" s="2" t="inlineStr">
        <is>
          <t>Delivery Rate</t>
        </is>
      </c>
      <c r="D26" s="2" t="inlineStr">
        <is>
          <t>DR</t>
        </is>
      </c>
      <c r="E26" s="2" t="inlineStr">
        <is>
          <t>Core 7</t>
        </is>
      </c>
      <c r="F26" s="2" t="inlineStr">
        <is>
          <t>BOD, OPS, CMC</t>
        </is>
      </c>
      <c r="G26" s="2" t="inlineStr">
        <is>
          <t>Ngày</t>
        </is>
      </c>
      <c r="H26" s="2" t="inlineStr">
        <is>
          <t>Phần trăm SKU đạt DR trong các SKU được tính DR — đúng chỉ số DR chuỗi đang theo dõi. SKU nào được tính và thế nào là đạt do team cung ứng (SCCT) quy định.</t>
        </is>
      </c>
      <c r="I26" s="2" t="inlineStr">
        <is>
          <t>Số SKU đạt chia số SKU được tính DR, cộng dồn trên mọi cửa hàng và ngày đang xem (cộng số SKU của mọi cửa hàng rồi mới chia, không lấy trung bình tỷ lệ từng cửa hàng). Minh họa: hôm qua cửa hàng được tính 1.000 SKU, 920 SKU đạt ⇒ DR 92%.</t>
        </is>
      </c>
      <c r="J26" s="2" t="inlineStr">
        <is>
          <t>CMC / Supply — ngành / cửa hàng nào DR dưới mốc ⇒ đẩy NCC / DC, sửa tham số đặt hàng; Ops — cửa hàng nào cần kiểm nhận hàng.</t>
        </is>
      </c>
      <c r="K26" s="2" t="inlineStr">
        <is>
          <t>Càng cao càng tốt</t>
        </is>
      </c>
      <c r="L26" s="2" t="inlineStr">
        <is>
          <t>Kênh kế hoạch: So với 4 mốc kế hoạch E / HE / O / O+ do Finance cấp.
dr_count = 0 (không SKU nào được tính DR — vd toàn MCH2 101 hàng tươi ở chuỗi hiện tại) ⇒ ⚪ n/a</t>
        </is>
      </c>
      <c r="M26" s="2" t="inlineStr">
        <is>
          <t>Kênh kế hoạch: Màu theo 4 mốc: tới E đỏ · tới HE cam · tới O xanh lá · tới O+ xanh lam · vượt O+ tím. Được phép chỉ đặt ở chuỗi / model rồi kế thừa xuống cửa hàng. Không vượt được 100%: mọi SKU đạt (100%) là mức cao nhất, tính như vượt mọi mốc, nhãn ghi 100% (max) (T21) (đề xuất)</t>
        </is>
      </c>
      <c r="N26" s="2" t="inlineStr">
        <is>
          <t>Target: Finance / team CVS</t>
        </is>
      </c>
      <c r="O26" s="2" t="inlineStr">
        <is>
          <t>Chỉ số đã có cho chuỗi hiện tại — chờ nhóm cung ứng đưa cửa hàng CVS vào · Chờ nhóm cung ứng đưa cửa hàng CVS vào số liệu DR / DIO · Chờ đưa dữ liệu CVS vào hệ thống báo cáo (đang làm, trước ngày khai trương)</t>
        </is>
      </c>
      <c r="P26" s="3" t="inlineStr"/>
      <c r="Q26" s="3" t="inlineStr"/>
      <c r="R26" s="3" t="inlineStr"/>
    </row>
    <row r="27">
      <c r="A27" s="2" t="inlineStr">
        <is>
          <t>HH-13</t>
        </is>
      </c>
      <c r="B27" s="2" t="inlineStr">
        <is>
          <t>Hàng hóa &amp; Availability</t>
        </is>
      </c>
      <c r="C27" s="2" t="inlineStr">
        <is>
          <t>Days of Inventory On-hand</t>
        </is>
      </c>
      <c r="D27" s="2" t="inlineStr">
        <is>
          <t>DIO</t>
        </is>
      </c>
      <c r="E27" s="2" t="inlineStr">
        <is>
          <t>Core 7</t>
        </is>
      </c>
      <c r="F27" s="2" t="inlineStr">
        <is>
          <t>BOD, OPS, CMC</t>
        </is>
      </c>
      <c r="G27" s="2" t="inlineStr">
        <is>
          <t>Ngày</t>
        </is>
      </c>
      <c r="H27" s="2" t="inlineStr">
        <is>
          <t>Giá trị tồn của hàng Core 1–3 đủ bán bao nhiêu ngày theo giá vốn bình quân 30 ngày gần nhất — đúng công thức DIO chuỗi đang dùng. Cao = tồn thừa, chôn vốn; thấp = nguy cơ hết.</t>
        </is>
      </c>
      <c r="I27" s="2" t="inlineStr">
        <is>
          <t>Giá trị tồn hàng Core 1–3 chia giá vốn bình quân một ngày (giá vốn 30 ngày ÷ 30). Minh họa: tồn Core 400 tr đ, giá vốn 30 ngày 300 tr đ (10 tr đ / ngày) ⇒ 40 ngày.</t>
        </is>
      </c>
      <c r="J27" s="2" t="inlineStr">
        <is>
          <t>CMC / Supply — ngành / cửa hàng nào tồn quá nhiều ngày so với mốc ⇒ giảm đặt, giải tồn, delist; Ops — cửa hàng nào giữ tồn sai.</t>
        </is>
      </c>
      <c r="K27" s="2" t="inlineStr">
        <is>
          <t>Càng thấp càng tốt</t>
        </is>
      </c>
      <c r="L27" s="2" t="inlineStr">
        <is>
          <t>Kênh kế hoạch: So với 4 mốc kế hoạch E / HE / O / O+ do Finance cấp.
Hàng ngành MCH2: target TÙY CHỌN DIO × MCH2 (CMC điền, chuỗi × tháng; T20) ⇒ có màu theo 4 mốc, áp xuống Region / Model / cửa hàng trong cùng ngành (chain plan); KHÔNG áp xuống ngành con MCH3 (ngành con chênh nhau tự nhiên); trống ⇒ số không màu
Store không có SKU Core 1–3 ⇒ ⚪ unclassified range (KHÔNG đổi sang toàn danh mục)
DIO âm hoặc mẫu (cogs_30d / 30) ≤ 0 ⇒ ⚪</t>
        </is>
      </c>
      <c r="M27" s="2" t="inlineStr">
        <is>
          <t>Kênh kế hoạch: Màu theo 4 mốc: tới E đỏ · tới HE cam · tới O xanh lá · tới O+ xanh lam · vượt O+ tím (càng thấp càng tốt nên đọc ngược: từ E trở lên là đỏ). Được phép chỉ đặt ở chuỗi / model rồi kế thừa xuống cửa hàng (đề xuất)</t>
        </is>
      </c>
      <c r="N27" s="2" t="inlineStr">
        <is>
          <t>Target: Finance / team CVS</t>
        </is>
      </c>
      <c r="O27" s="2" t="inlineStr">
        <is>
          <t>Chỉ số đã có cho chuỗi hiện tại — chờ nhóm cung ứng đưa cửa hàng CVS vào · Chờ nhóm cung ứng đưa cửa hàng CVS vào số liệu DR / DIO · Chờ đưa dữ liệu CVS vào hệ thống báo cáo (đang làm, trước ngày khai trương)</t>
        </is>
      </c>
      <c r="P27" s="3" t="inlineStr"/>
      <c r="Q27" s="3" t="inlineStr"/>
      <c r="R27" s="3" t="inlineStr"/>
    </row>
    <row r="28">
      <c r="A28" s="2" t="inlineStr">
        <is>
          <t>KM-01</t>
        </is>
      </c>
      <c r="B28" s="2" t="inlineStr">
        <is>
          <t>Khuyến mãi</t>
        </is>
      </c>
      <c r="C28" s="2" t="inlineStr">
        <is>
          <t>Tỷ trọng doanh thu KM trên doanh thu cửa hàng</t>
        </is>
      </c>
      <c r="D28" s="2" t="inlineStr">
        <is>
          <t>Store Promo Sales %</t>
        </is>
      </c>
      <c r="E28" s="2" t="inlineStr">
        <is>
          <t>DETAIL</t>
        </is>
      </c>
      <c r="F28" s="2" t="inlineStr">
        <is>
          <t>CMC, Finance</t>
        </is>
      </c>
      <c r="G28" s="2" t="inlineStr">
        <is>
          <t>Ngày</t>
        </is>
      </c>
      <c r="H28" s="2" t="inlineStr">
        <is>
          <t>Phần trăm doanh thu của cửa hàng bán ở giá khuyến mãi. Cho biết cửa hàng / ngành hàng đang sống nhờ KM tới mức nào.</t>
        </is>
      </c>
      <c r="I28" s="2" t="inlineStr">
        <is>
          <t>Doanh thu các dòng bán có giá KM chia tổng doanh thu cửa hàng. Minh họa: doanh thu ngày 20 tr đ, trong đó 6 tr đ bán giá KM ⇒ 30%.</t>
        </is>
      </c>
      <c r="J28" s="2" t="inlineStr">
        <is>
          <t>CMC + Finance — cửa hàng / ngành hàng nào phụ thuộc KM quá mức (giảm tần suất / độ sâu KM), hoặc quá ít (KM chưa tới cửa hàng).</t>
        </is>
      </c>
      <c r="K28" s="2" t="inlineStr">
        <is>
          <t>Càng gần mốc càng tốt</t>
        </is>
      </c>
      <c r="L28" s="2" t="inlineStr">
        <is>
          <t>số + cơ cấu, không màu</t>
        </is>
      </c>
      <c r="M28" s="2" t="inlineStr"/>
      <c r="N28" s="2" t="inlineStr"/>
      <c r="O28" s="2" t="inlineStr">
        <is>
          <t>Có dữ liệu — có số khi cửa hàng bắt đầu bán · Chờ đưa dữ liệu CVS vào hệ thống báo cáo (đang làm, trước ngày khai trương)</t>
        </is>
      </c>
      <c r="P28" s="3" t="inlineStr"/>
      <c r="Q28" s="3" t="inlineStr"/>
      <c r="R28" s="3" t="inlineStr"/>
    </row>
    <row r="29">
      <c r="A29" s="2" t="inlineStr">
        <is>
          <t>KM-02</t>
        </is>
      </c>
      <c r="B29" s="2" t="inlineStr">
        <is>
          <t>Khuyến mãi</t>
        </is>
      </c>
      <c r="C29" s="2" t="inlineStr">
        <is>
          <t>Tăng doanh thu / ngày so với 2 tuần trước KM</t>
        </is>
      </c>
      <c r="D29" s="2" t="inlineStr">
        <is>
          <t>Δ% P2W</t>
        </is>
      </c>
      <c r="E29" s="2" t="inlineStr">
        <is>
          <t>CMC · DETAIL</t>
        </is>
      </c>
      <c r="F29" s="2" t="inlineStr">
        <is>
          <t>CMC</t>
        </is>
      </c>
      <c r="G29" s="2" t="inlineStr">
        <is>
          <t>Ngày</t>
        </is>
      </c>
      <c r="H29" s="2" t="inlineStr">
        <is>
          <t>Doanh thu / cửa hàng / ngày của các SKU trong chương trình lúc chạy KM so với 2 tuần trước khi KM. Đo chương trình có thật sự kéo thêm doanh thu không.</t>
        </is>
      </c>
      <c r="I29" s="2" t="inlineStr">
        <is>
          <t>(Doanh thu KM / ngày trong kỳ CT − doanh thu / ngày 2 tuần trước) chia doanh thu / ngày 2 tuần trước. Minh họa: SKU trong CT bán 400.000 đ/cửa hàng/ngày lúc KM, 2 tuần trước 250.000 đ ⇒ +60%, chênh +150.000 đ/cửa hàng/ngày.</t>
        </is>
      </c>
      <c r="J29" s="2" t="inlineStr">
        <is>
          <t>CMC — giữ / dừng / lặp lại chương trình; xếp chương trình theo mức tăng tuyệt đối (đ/cửa hàng/ngày) chứ không chỉ theo %.</t>
        </is>
      </c>
      <c r="K29" s="2" t="inlineStr">
        <is>
          <t>Càng cao càng tốt</t>
        </is>
      </c>
      <c r="L29" s="2" t="inlineStr"/>
      <c r="M29" s="2" t="inlineStr"/>
      <c r="N29" s="2" t="inlineStr"/>
      <c r="O29" s="2" t="inlineStr">
        <is>
          <t>Cần đủ lịch sử mới có số · Chờ đưa dữ liệu CVS vào hệ thống báo cáo (đang làm, trước ngày khai trương)</t>
        </is>
      </c>
      <c r="P29" s="3" t="inlineStr"/>
      <c r="Q29" s="3" t="inlineStr"/>
      <c r="R29" s="3" t="inlineStr"/>
    </row>
    <row r="30">
      <c r="A30" s="2" t="inlineStr">
        <is>
          <t>KM-03</t>
        </is>
      </c>
      <c r="B30" s="2" t="inlineStr">
        <is>
          <t>Khuyến mãi</t>
        </is>
      </c>
      <c r="C30" s="2" t="inlineStr">
        <is>
          <t>Front margin tăng thêm của chương trình</t>
        </is>
      </c>
      <c r="D30" s="2" t="inlineStr">
        <is>
          <t>Δ Front Margin P2W</t>
        </is>
      </c>
      <c r="E30" s="2" t="inlineStr">
        <is>
          <t>DETAIL</t>
        </is>
      </c>
      <c r="F30" s="2" t="inlineStr">
        <is>
          <t>CMC, Finance</t>
        </is>
      </c>
      <c r="G30" s="2" t="inlineStr">
        <is>
          <t>Ngày</t>
        </is>
      </c>
      <c r="H30" s="2" t="inlineStr">
        <is>
          <t>Chương trình làm ra thêm bao nhiêu front margin so với khi không KM, sau khi trừ chi phí KM không nằm trong giá (hàng tặng, coupon). Doanh thu tăng mà margin tăng thêm âm là chương trình đốt tiền.</t>
        </is>
      </c>
      <c r="I30" s="2" t="inlineStr">
        <is>
          <t>(Front margin / ngày trong CT − front margin / ngày của mốc so sánh) × số cửa hàng-ngày CT, rồi trừ hàng tặng / coupon của CT. Minh họa: margin 80.000 đ/cửa hàng/ngày lúc KM vs 70.000 đ trước KM, 10 cửa hàng × 14 ngày ⇒ +1,4 tr đ; hàng tặng 1,8 tr đ ⇒ −0,4 tr đ: CT tăng doanh thu nhưng lỗ margin.</t>
        </is>
      </c>
      <c r="J30" s="2" t="inlineStr">
        <is>
          <t>CMC + Finance — giữ / dừng / sửa cơ chế chương trình (độ sâu giảm giá, quà tặng) dựa trên margin thật, không chỉ doanh thu.</t>
        </is>
      </c>
      <c r="K30" s="2" t="inlineStr">
        <is>
          <t>Càng cao càng tốt</t>
        </is>
      </c>
      <c r="L30" s="2" t="inlineStr"/>
      <c r="M30" s="2" t="inlineStr"/>
      <c r="N30" s="2" t="inlineStr"/>
      <c r="O30" s="2" t="inlineStr">
        <is>
          <t>Cần đủ lịch sử mới có số · Chờ đưa dữ liệu CVS vào hệ thống báo cáo (đang làm, trước ngày khai trương)</t>
        </is>
      </c>
      <c r="P30" s="3" t="inlineStr"/>
      <c r="Q30" s="3" t="inlineStr"/>
      <c r="R30" s="3" t="inlineStr"/>
    </row>
    <row r="31">
      <c r="A31" s="2" t="inlineStr">
        <is>
          <t>KM-04</t>
        </is>
      </c>
      <c r="B31" s="2" t="inlineStr">
        <is>
          <t>Khuyến mãi</t>
        </is>
      </c>
      <c r="C31" s="2" t="inlineStr">
        <is>
          <t>Chi phí KM (S&amp;L loại PROMO) trên doanh thu</t>
        </is>
      </c>
      <c r="D31" s="2" t="inlineStr">
        <is>
          <t>Promo Cost %</t>
        </is>
      </c>
      <c r="E31" s="2" t="inlineStr">
        <is>
          <t>DETAIL</t>
        </is>
      </c>
      <c r="F31" s="2" t="inlineStr">
        <is>
          <t>Finance, CMC</t>
        </is>
      </c>
      <c r="G31" s="2" t="inlineStr">
        <is>
          <t>Ngày</t>
        </is>
      </c>
      <c r="H31" s="2" t="inlineStr">
        <is>
          <t>Giá trị hàng xuất cho khuyến mãi (hàng tặng, coupon, giải tồn) trên doanh thu. Là phần chi phí KM không nằm trong giá bán, nên không thấy ở front margin.</t>
        </is>
      </c>
      <c r="I31" s="2" t="inlineStr">
        <is>
          <t>Giá trị S&amp;L loại PROMO chia doanh thu. Minh họa: hàng tặng + coupon 0,3 tr đ trên doanh thu 20 tr đ ⇒ 1,5%.</t>
        </is>
      </c>
      <c r="J31" s="2" t="inlineStr">
        <is>
          <t>Finance + CMC — ngân sách KM theo cửa hàng / ngành hàng; cửa hàng nào xuất hàng tặng vượt kế hoạch.</t>
        </is>
      </c>
      <c r="K31" s="2" t="inlineStr">
        <is>
          <t>Càng gần mốc càng tốt</t>
        </is>
      </c>
      <c r="L31" s="2" t="inlineStr">
        <is>
          <t>Kênh kế hoạch: So với 4 mốc kế hoạch E / HE / O / O+ do Finance cấp.</t>
        </is>
      </c>
      <c r="M31" s="2" t="inlineStr">
        <is>
          <t>Kênh kế hoạch: Màu theo 4 mốc: tới E đỏ · tới HE cam · tới O xanh lá · tới O+ xanh lam · vượt O+ tím. v1 chưa xin target ⇒ ⚪ no plan (đề xuất)</t>
        </is>
      </c>
      <c r="N31" s="2" t="inlineStr"/>
      <c r="O31" s="2" t="inlineStr">
        <is>
          <t>Có dữ liệu — có số khi cửa hàng bắt đầu bán</t>
        </is>
      </c>
      <c r="P31" s="3" t="inlineStr"/>
      <c r="Q31" s="3" t="inlineStr"/>
      <c r="R31" s="3" t="inlineStr"/>
    </row>
    <row r="32">
      <c r="A32" s="2" t="inlineStr">
        <is>
          <t>KM-05</t>
        </is>
      </c>
      <c r="B32" s="2" t="inlineStr">
        <is>
          <t>Khuyến mãi</t>
        </is>
      </c>
      <c r="C32" s="2" t="inlineStr">
        <is>
          <t>Tỷ lệ tuân thủ KM</t>
        </is>
      </c>
      <c r="D32" s="2" t="inlineStr">
        <is>
          <t>Promo Compliance</t>
        </is>
      </c>
      <c r="E32" s="2" t="inlineStr">
        <is>
          <t>OPS · DETAIL</t>
        </is>
      </c>
      <c r="F32" s="2" t="inlineStr">
        <is>
          <t>OPS, CMC</t>
        </is>
      </c>
      <c r="G32" s="2" t="inlineStr">
        <is>
          <t>Ngày</t>
        </is>
      </c>
      <c r="H32" s="2" t="inlineStr">
        <is>
          <t>Chương trình có chạy đúng tại cửa hàng không, tách 2 lỗi: (a) Tuân thủ giá — cặp cửa hàng × SKU trong kế hoạch có bán mà không áp giá KM; (b) Có hàng KM — cặp trong kế hoạch KHÔNG bán và hết tồn, tức hàng KM không về tới cửa hàng (lỗi phổ biến nhất của CT).</t>
        </is>
      </c>
      <c r="I32" s="2" t="inlineStr">
        <is>
          <t>(a) Cặp có bán giá KM chia cặp có bán; (b) cặp không bán và tồn = 0 chia tổng cặp kế hoạch. Minh họa: CT 10 cửa hàng × 20 SKU = 200 cặp; 180 cặp có bán, 171 có giá KM ⇒ (a) 95%; 20 cặp không bán, 14 trong đó tồn = 0 ⇒ (b) 7% cặp không có hàng KM. (b) cao = vấn đề phân bổ / giao hàng (Supply); (a) cao = vấn đề tại cửa hàng (Ops).</t>
        </is>
      </c>
      <c r="J32" s="2" t="inlineStr">
        <is>
          <t>Ops — sửa giá / POS tại cửa hàng khi (a) thấp; Supply / CMC — đẩy phân bổ, giao bổ sung hàng KM khi (b) cao — ngay trong kỳ CT.</t>
        </is>
      </c>
      <c r="K32" s="2" t="inlineStr">
        <is>
          <t>Càng cao càng tốt</t>
        </is>
      </c>
      <c r="L32" s="2" t="inlineStr">
        <is>
          <t>Kênh kế hoạch: So với 4 mốc kế hoạch E / HE / O / O+ do Finance cấp.</t>
        </is>
      </c>
      <c r="M32" s="2" t="inlineStr">
        <is>
          <t>Kênh kế hoạch: Màu theo 4 mốc: tới E đỏ · tới HE cam · tới O xanh lá · tới O+ xanh lam · vượt O+ tím. Cột target TÙY CHỌN (OPS điền, chuỗi × tháng; T20) cho số chính (a) Tuân thủ giá; áp xuống mọi đơn vị / cửa hàng (nhãn chain plan); trống ⇒ số không màu. Không vượt được 100%: đúng giá ở mọi cặp (100%) là mức cao nhất, tính như vượt mọi mốc, nhãn ghi 100% (max) (T21) (đề xuất)</t>
        </is>
      </c>
      <c r="N32" s="2" t="inlineStr">
        <is>
          <t>Target: team CVS</t>
        </is>
      </c>
      <c r="O32" s="2" t="inlineStr">
        <is>
          <t>Có dữ liệu — có số khi cửa hàng bắt đầu bán · Chờ đưa dữ liệu CVS vào hệ thống báo cáo (đang làm, trước ngày khai trương)</t>
        </is>
      </c>
      <c r="P32" s="3" t="inlineStr"/>
      <c r="Q32" s="3" t="inlineStr"/>
      <c r="R32" s="3" t="inlineStr"/>
    </row>
    <row r="33">
      <c r="A33" s="2" t="inlineStr">
        <is>
          <t>KM-06</t>
        </is>
      </c>
      <c r="B33" s="2" t="inlineStr">
        <is>
          <t>Khuyến mãi</t>
        </is>
      </c>
      <c r="C33" s="2" t="inlineStr">
        <is>
          <t>SKU dính nhiều chương trình cùng lúc</t>
        </is>
      </c>
      <c r="D33" s="2" t="inlineStr">
        <is>
          <t>Overlap</t>
        </is>
      </c>
      <c r="E33" s="2" t="inlineStr">
        <is>
          <t>DETAIL</t>
        </is>
      </c>
      <c r="F33" s="2" t="inlineStr">
        <is>
          <t>CMC</t>
        </is>
      </c>
      <c r="G33" s="2" t="inlineStr">
        <is>
          <t>Ngày</t>
        </is>
      </c>
      <c r="H33" s="2" t="inlineStr">
        <is>
          <t>Số (và %) SKU × cửa hàng × ngày cùng lúc thuộc ≥ 2 chương trình KM theo kế hoạch. Chồng chéo làm giảm giá chồng lên nhau, khó đo hiệu quả từng chương trình.</t>
        </is>
      </c>
      <c r="I33" s="2" t="inlineStr">
        <is>
          <t>Đếm SKU × cửa hàng × ngày có từ 2 chương trình trở lên chia tổng SKU × cửa hàng × ngày đang KM. Minh họa: hôm qua 2.000 SKU-cửa hàng đang KM, 120 dính 2 CT ⇒ 6%; mở danh sách cặp CT chồng nhau.</t>
        </is>
      </c>
      <c r="J33" s="2" t="inlineStr">
        <is>
          <t>CMC — sửa cơ chế / lịch chương trình để không chồng giá, không chồng ngân sách.</t>
        </is>
      </c>
      <c r="K33" s="2" t="inlineStr">
        <is>
          <t>Càng thấp càng tốt</t>
        </is>
      </c>
      <c r="L33" s="2" t="inlineStr">
        <is>
          <t>Kênh kế hoạch: So với 4 mốc kế hoạch E / HE / O / O+ do Finance cấp.</t>
        </is>
      </c>
      <c r="M33" s="2" t="inlineStr">
        <is>
          <t>Kênh kế hoạch: Màu theo 4 mốc: tới E đỏ · tới HE cam · tới O xanh lá · tới O+ xanh lam · vượt O+ tím (càng thấp càng tốt nên đọc ngược: từ E trở lên là đỏ). v1 chưa xin target ⇒ ⚪ no plan (đề xuất)</t>
        </is>
      </c>
      <c r="N33" s="2" t="inlineStr"/>
      <c r="O33" s="2" t="inlineStr">
        <is>
          <t>Có dữ liệu — có số khi cửa hàng bắt đầu bán</t>
        </is>
      </c>
      <c r="P33" s="3" t="inlineStr"/>
      <c r="Q33" s="3" t="inlineStr"/>
      <c r="R33" s="3" t="inlineStr"/>
    </row>
    <row r="34">
      <c r="A34" s="2" t="inlineStr">
        <is>
          <t>PL-01</t>
        </is>
      </c>
      <c r="B34" s="2" t="inlineStr">
        <is>
          <t>P&amp;L cửa hàng</t>
        </is>
      </c>
      <c r="C34" s="2" t="inlineStr">
        <is>
          <t>EBIT Store / cửa hàng / tháng</t>
        </is>
      </c>
      <c r="D34" s="2" t="inlineStr">
        <is>
          <t>EBIT Store</t>
        </is>
      </c>
      <c r="E34" s="2" t="inlineStr">
        <is>
          <t>BOD · DETAIL</t>
        </is>
      </c>
      <c r="F34" s="2" t="inlineStr">
        <is>
          <t>Finance, BOD</t>
        </is>
      </c>
      <c r="G34" s="2" t="inlineStr">
        <is>
          <t>Tháng</t>
        </is>
      </c>
      <c r="H34" s="2" t="inlineStr">
        <is>
          <t>Lãi cấp cửa hàng sau khấu hao, trước chi phí SSC (Back Office + Head Office). Trả lời "cửa hàng này tự nuôi được nó chưa". Hiển thị kèm % doanh thu và waterfall _01 → _13.</t>
        </is>
      </c>
      <c r="I34" s="2" t="inlineStr">
        <is>
          <t>EBITDA Store trừ khấu hao của cửa hàng. Minh họa: doanh thu tháng 600 tr đ, Gross Profit 150 tr đ, OPEX 130 tr đ ⇒ EBITDA Store 20 tr đ; khấu hao 35 tr đ ⇒ EBIT Store −15 tr đ (−2,5% doanh thu).</t>
        </is>
      </c>
      <c r="J34" s="2" t="inlineStr">
        <is>
          <t>Finance — cửa hàng nào lỗ sâu hơn đường ramp của tuổi nó ⇒ đưa vào danh sách can thiệp / xem xét đóng.</t>
        </is>
      </c>
      <c r="K34" s="2" t="inlineStr">
        <is>
          <t>Càng cao càng tốt</t>
        </is>
      </c>
      <c r="L34" s="2" t="inlineStr">
        <is>
          <t>Kênh kế hoạch: So với 4 mốc kế hoạch E / HE / O / O+ do Finance cấp.</t>
        </is>
      </c>
      <c r="M34" s="2" t="inlineStr">
        <is>
          <t>Kênh kế hoạch: Màu theo 4 mốc: tới E đỏ · tới HE cam · tới O xanh lá · tới O+ xanh lam · vượt O+ tím. v1 chưa xin target ⇒ ⚪ no plan (đề xuất)</t>
        </is>
      </c>
      <c r="N34" s="2" t="inlineStr"/>
      <c r="O34" s="2" t="inlineStr">
        <is>
          <t>Cần đủ lịch sử mới có số · Chờ Finance dựng P&amp;L cho chuỗi CVS</t>
        </is>
      </c>
      <c r="P34" s="3" t="inlineStr"/>
      <c r="Q34" s="3" t="inlineStr"/>
      <c r="R34" s="3" t="inlineStr"/>
    </row>
    <row r="35">
      <c r="A35" s="2" t="inlineStr">
        <is>
          <t>PL-02</t>
        </is>
      </c>
      <c r="B35" s="2" t="inlineStr">
        <is>
          <t>P&amp;L cửa hàng</t>
        </is>
      </c>
      <c r="C35" s="2" t="inlineStr">
        <is>
          <t>EBITDA Store / cửa hàng / tháng</t>
        </is>
      </c>
      <c r="D35" s="2" t="inlineStr">
        <is>
          <t>EBITDA Store</t>
        </is>
      </c>
      <c r="E35" s="2" t="inlineStr">
        <is>
          <t>DETAIL</t>
        </is>
      </c>
      <c r="F35" s="2" t="inlineStr">
        <is>
          <t>Finance, OPS</t>
        </is>
      </c>
      <c r="G35" s="2" t="inlineStr">
        <is>
          <t>Tháng</t>
        </is>
      </c>
      <c r="H35" s="2" t="inlineStr">
        <is>
          <t>Lãi hoạt động của cửa hàng trước khấu hao — phần cửa hàng kiểm soát được hằng tháng (khấu hao là chi phí đầu tư đã chi). EBIT Store âm mà EBITDA Store dương = cửa hàng đã có lãi vận hành, đang trả dần vốn đầu tư.</t>
        </is>
      </c>
      <c r="I35" s="2" t="inlineStr">
        <is>
          <t>Gross Profit trừ OPEX. Minh họa: Gross Profit 150 tr đ, OPEX 130 tr đ ⇒ EBITDA Store 20 tr đ (3,3% doanh thu).</t>
        </is>
      </c>
      <c r="J35" s="2" t="inlineStr">
        <is>
          <t>Finance + Ops — cửa hàng đã có lãi vận hành chưa; mốc chuyển dương EBITDA Store là cột mốc ramp-up (MR-04).</t>
        </is>
      </c>
      <c r="K35" s="2" t="inlineStr">
        <is>
          <t>Càng cao càng tốt</t>
        </is>
      </c>
      <c r="L35" s="2" t="inlineStr"/>
      <c r="M35" s="2" t="inlineStr"/>
      <c r="N35" s="2" t="inlineStr"/>
      <c r="O35" s="2" t="inlineStr">
        <is>
          <t>Cần đủ lịch sử mới có số · Chờ Finance dựng P&amp;L cho chuỗi CVS</t>
        </is>
      </c>
      <c r="P35" s="3" t="inlineStr"/>
      <c r="Q35" s="3" t="inlineStr"/>
      <c r="R35" s="3" t="inlineStr"/>
    </row>
    <row r="36">
      <c r="A36" s="2" t="inlineStr">
        <is>
          <t>PL-03</t>
        </is>
      </c>
      <c r="B36" s="2" t="inlineStr">
        <is>
          <t>P&amp;L cửa hàng</t>
        </is>
      </c>
      <c r="C36" s="2" t="inlineStr">
        <is>
          <t>Gross Profit %</t>
        </is>
      </c>
      <c r="D36" s="2" t="inlineStr">
        <is>
          <t>Gross Profit %</t>
        </is>
      </c>
      <c r="E36" s="2" t="inlineStr">
        <is>
          <t>DETAIL</t>
        </is>
      </c>
      <c r="F36" s="2" t="inlineStr">
        <is>
          <t>Finance, CMC</t>
        </is>
      </c>
      <c r="G36" s="2" t="inlineStr">
        <is>
          <t>Tháng</t>
        </is>
      </c>
      <c r="H36" s="2" t="inlineStr">
        <is>
          <t>Lãi gộp P&amp;L trên doanh thu — đã cộng claimback, back margin và trừ logistic, shrinkage. Là biên thật cấp tháng; KHÔNG phải Margin after S&amp;L của Cây Ngày.</t>
        </is>
      </c>
      <c r="I36" s="2" t="inlineStr">
        <is>
          <t>Gross Profit chia doanh thu P&amp;L. Minh họa: FM 150 tr đ + claimback / BM 20 tr đ − logistic 15 tr đ − shrinkage 5 tr đ = 150 tr đ trên doanh thu 600 tr đ ⇒ 25%.</t>
        </is>
      </c>
      <c r="J36" s="2" t="inlineStr">
        <is>
          <t>Finance + CMC — biên tháng của cửa hàng / MCH5 có đủ trả OPEX của model không; dòng nào (FM, BM, logistic, shrinkage) kéo biên xuống.</t>
        </is>
      </c>
      <c r="K36" s="2" t="inlineStr">
        <is>
          <t>Càng cao càng tốt</t>
        </is>
      </c>
      <c r="L36" s="2" t="inlineStr"/>
      <c r="M36" s="2" t="inlineStr"/>
      <c r="N36" s="2" t="inlineStr"/>
      <c r="O36" s="2" t="inlineStr">
        <is>
          <t>Cần đủ lịch sử mới có số · Chờ Finance dựng P&amp;L cho chuỗi CVS</t>
        </is>
      </c>
      <c r="P36" s="3" t="inlineStr"/>
      <c r="Q36" s="3" t="inlineStr"/>
      <c r="R36" s="3" t="inlineStr"/>
    </row>
    <row r="37">
      <c r="A37" s="2" t="inlineStr">
        <is>
          <t>PL-04</t>
        </is>
      </c>
      <c r="B37" s="2" t="inlineStr">
        <is>
          <t>P&amp;L cửa hàng</t>
        </is>
      </c>
      <c r="C37" s="2" t="inlineStr">
        <is>
          <t>OPEX trên doanh thu</t>
        </is>
      </c>
      <c r="D37" s="2" t="inlineStr">
        <is>
          <t>OPEX %</t>
        </is>
      </c>
      <c r="E37" s="2" t="inlineStr">
        <is>
          <t>DETAIL</t>
        </is>
      </c>
      <c r="F37" s="2" t="inlineStr">
        <is>
          <t>Finance, OPS</t>
        </is>
      </c>
      <c r="G37" s="2" t="inlineStr">
        <is>
          <t>Tháng</t>
        </is>
      </c>
      <c r="H37" s="2" t="inlineStr">
        <is>
          <t>Chi phí vận hành cửa hàng (lương phân bổ, thuê, điện, bảo vệ, vệ sinh, sửa chữa…) trên doanh thu, tách theo từng dòng. Store mới OPEX gần như cố định từ ngày đầu nên % rất cao lúc ramp.</t>
        </is>
      </c>
      <c r="I37" s="2" t="inlineStr">
        <is>
          <t>OPEX chia doanh thu, mở theo dòng chi phí. Minh họa: OPEX 130 tr đ trên doanh thu 600 tr đ ⇒ 21,7%, trong đó thuê 60 tr đ (10%), điện 25 tr đ (4,2%).</t>
        </is>
      </c>
      <c r="J37" s="2" t="inlineStr">
        <is>
          <t>Finance + Ops — dòng chi phí nào của cửa hàng vượt model (thuê, điện 24h, nhân sự), cần đàm phán / điều chỉnh.</t>
        </is>
      </c>
      <c r="K37" s="2" t="inlineStr">
        <is>
          <t>Càng thấp càng tốt</t>
        </is>
      </c>
      <c r="L37" s="2" t="inlineStr"/>
      <c r="M37" s="2" t="inlineStr"/>
      <c r="N37" s="2" t="inlineStr"/>
      <c r="O37" s="2" t="inlineStr">
        <is>
          <t>Cần đủ lịch sử mới có số · Chờ Finance dựng P&amp;L cho chuỗi CVS</t>
        </is>
      </c>
      <c r="P37" s="3" t="inlineStr"/>
      <c r="Q37" s="3" t="inlineStr"/>
      <c r="R37" s="3" t="inlineStr"/>
    </row>
    <row r="38">
      <c r="A38" s="2" t="inlineStr">
        <is>
          <t>PL-05</t>
        </is>
      </c>
      <c r="B38" s="2" t="inlineStr">
        <is>
          <t>P&amp;L cửa hàng</t>
        </is>
      </c>
      <c r="C38" s="2" t="inlineStr">
        <is>
          <t>Sales Per Day hòa vốn EBITDA Store</t>
        </is>
      </c>
      <c r="D38" s="2" t="inlineStr">
        <is>
          <t>Break-even Attainment %</t>
        </is>
      </c>
      <c r="E38" s="2" t="inlineStr">
        <is>
          <t>DETAIL</t>
        </is>
      </c>
      <c r="F38" s="2" t="inlineStr">
        <is>
          <t>Finance, OPS, BOD</t>
        </is>
      </c>
      <c r="G38" s="2" t="inlineStr">
        <is>
          <t>Tháng</t>
        </is>
      </c>
      <c r="H38" s="2" t="inlineStr">
        <is>
          <t>Doanh thu / ngày một cửa hàng cần đạt để EBITDA Store = 0, với biên gộp và OPEX hiện tại của chính nó. Màn hình hiện % đạt hòa vốn = Sales Per Day thực ÷ Sales Per Day hòa vốn (≥ 100% = đã hòa vốn) — nối hai cây bằng một con số Ops hiểu.</t>
        </is>
      </c>
      <c r="I38" s="2" t="inlineStr">
        <is>
          <t>OPEX tháng chia Gross Profit %, rồi chia số ngày hoạt động — giả định TOÀN BỘ OPEX là chi phí cố định (không đổi theo doanh thu). Minh họa: OPEX 130 tr đ, Gross Profit 25% ⇒ cần 520 tr đ / tháng ÷ 30 ngày ≈ 17,3 tr đ / ngày; Sales Per Day thực 20 tr đ ⇒ hiện 115% hòa vốn; Sales Per Day hòa vốn 17,3 tr đ ở tooltip.</t>
        </is>
      </c>
      <c r="J38" s="2" t="inlineStr">
        <is>
          <t>Finance + Ops — cửa hàng nào còn xa hòa vốn và cần tăng bao nhiêu doanh thu / ngày; đầu vào chọn mặt bằng cho cửa hàng mở sau.</t>
        </is>
      </c>
      <c r="K38" s="2" t="inlineStr">
        <is>
          <t>Càng cao càng tốt</t>
        </is>
      </c>
      <c r="L38" s="2" t="inlineStr"/>
      <c r="M38" s="2" t="inlineStr"/>
      <c r="N38" s="2" t="inlineStr"/>
      <c r="O38" s="2" t="inlineStr">
        <is>
          <t>Cần đủ lịch sử mới có số · Chờ Finance dựng P&amp;L cho chuỗi CVS · Chờ đưa dữ liệu CVS vào hệ thống báo cáo (đang làm, trước ngày khai trương)</t>
        </is>
      </c>
      <c r="P38" s="3" t="inlineStr"/>
      <c r="Q38" s="3" t="inlineStr"/>
      <c r="R38" s="3" t="inlineStr"/>
    </row>
    <row r="39">
      <c r="A39" s="2" t="inlineStr">
        <is>
          <t>CD-01</t>
        </is>
      </c>
      <c r="B39" s="2" t="inlineStr">
        <is>
          <t>Kinh tế ca đêm</t>
        </is>
      </c>
      <c r="C39" s="2" t="inlineStr">
        <is>
          <t>Tỷ trọng doanh thu cửa sổ đêm</t>
        </is>
      </c>
      <c r="D39" s="2" t="inlineStr">
        <is>
          <t>Night Sales Share</t>
        </is>
      </c>
      <c r="E39" s="2" t="inlineStr">
        <is>
          <t>DETAIL</t>
        </is>
      </c>
      <c r="F39" s="2" t="inlineStr">
        <is>
          <t>OPS, Finance</t>
        </is>
      </c>
      <c r="G39" s="2" t="inlineStr">
        <is>
          <t>Tháng</t>
        </is>
      </c>
      <c r="H39" s="2" t="inlineStr">
        <is>
          <t>Phần trăm doanh thu tháng của cửa hàng bán trong 00:00–05:59. Cho biết ca đêm đóng góp bao nhiêu — số đầu tiên khi bàn giữ 24h.</t>
        </is>
      </c>
      <c r="I39" s="2" t="inlineStr">
        <is>
          <t>Doanh thu 0–5h chia doanh thu cả ngày, cộng theo tháng. Minh họa: tháng 600 tr đ, trong đó 0–5h 21 tr đ ⇒ 3,5%.</t>
        </is>
      </c>
      <c r="J39" s="2" t="inlineStr">
        <is>
          <t>Ops + Finance — cửa hàng nào ca đêm đóng góp quá ít, đưa vào danh sách xét rút giờ / chuyển mô hình đêm.</t>
        </is>
      </c>
      <c r="K39" s="2" t="inlineStr">
        <is>
          <t>Càng cao càng tốt</t>
        </is>
      </c>
      <c r="L39" s="2" t="inlineStr"/>
      <c r="M39" s="2" t="inlineStr"/>
      <c r="N39" s="2" t="inlineStr"/>
      <c r="O39" s="2" t="inlineStr">
        <is>
          <t>Có dữ liệu — có số khi cửa hàng bắt đầu bán · Chờ đưa dữ liệu CVS vào hệ thống báo cáo (đang làm, trước ngày khai trương)</t>
        </is>
      </c>
      <c r="P39" s="3" t="inlineStr"/>
      <c r="Q39" s="3" t="inlineStr"/>
      <c r="R39" s="3" t="inlineStr"/>
    </row>
    <row r="40">
      <c r="A40" s="2" t="inlineStr">
        <is>
          <t>CD-02</t>
        </is>
      </c>
      <c r="B40" s="2" t="inlineStr">
        <is>
          <t>Kinh tế ca đêm</t>
        </is>
      </c>
      <c r="C40" s="2" t="inlineStr">
        <is>
          <t>Front margin cửa sổ đêm</t>
        </is>
      </c>
      <c r="D40" s="2" t="inlineStr">
        <is>
          <t>Night Front Margin</t>
        </is>
      </c>
      <c r="E40" s="2" t="inlineStr">
        <is>
          <t>DETAIL</t>
        </is>
      </c>
      <c r="F40" s="2" t="inlineStr">
        <is>
          <t>OPS, Finance</t>
        </is>
      </c>
      <c r="G40" s="2" t="inlineStr">
        <is>
          <t>Tháng</t>
        </is>
      </c>
      <c r="H40" s="2" t="inlineStr">
        <is>
          <t>Front margin ước tính của hàng bán trong 00:00–05:59 / cửa hàng / tháng — vế "thu" để đặt cạnh chi phí ca đêm. Ca đêm bán mix khác ban ngày nên không lấy doanh thu đêm × biên trung bình ngày.</t>
        </is>
      </c>
      <c r="I40" s="2" t="inlineStr">
        <is>
          <t>Với từng SKU, doanh thu đêm × front margin % của SKU đó trong ngày, rồi cộng lại theo tháng. Minh họa: đêm bán 21 tr đ, mix đêm có biên 28% ⇒ 5,9 tr đ / tháng.</t>
        </is>
      </c>
      <c r="J40" s="2" t="inlineStr">
        <is>
          <t>Ops + Finance — vế thu của quyết định giữ 24h; so với chi phí ca đêm ở CD-03.</t>
        </is>
      </c>
      <c r="K40" s="2" t="inlineStr">
        <is>
          <t>Càng cao càng tốt</t>
        </is>
      </c>
      <c r="L40" s="2" t="inlineStr"/>
      <c r="M40" s="2" t="inlineStr"/>
      <c r="N40" s="2" t="inlineStr"/>
      <c r="O40" s="2" t="inlineStr">
        <is>
          <t>Có dữ liệu — có số khi cửa hàng bắt đầu bán · Chờ đưa dữ liệu CVS vào hệ thống báo cáo (đang làm, trước ngày khai trương)</t>
        </is>
      </c>
      <c r="P40" s="3" t="inlineStr"/>
      <c r="Q40" s="3" t="inlineStr"/>
      <c r="R40" s="3" t="inlineStr"/>
    </row>
    <row r="41">
      <c r="A41" s="2" t="inlineStr">
        <is>
          <t>CD-03</t>
        </is>
      </c>
      <c r="B41" s="2" t="inlineStr">
        <is>
          <t>Kinh tế ca đêm</t>
        </is>
      </c>
      <c r="C41" s="2" t="inlineStr">
        <is>
          <t>Lãi ca đêm sau chi phí ca đêm</t>
        </is>
      </c>
      <c r="D41" s="2" t="inlineStr">
        <is>
          <t>Night Contribution</t>
        </is>
      </c>
      <c r="E41" s="2" t="inlineStr">
        <is>
          <t>Để sau</t>
        </is>
      </c>
      <c r="F41" s="2" t="inlineStr">
        <is>
          <t>OPS, Finance, BOD</t>
        </is>
      </c>
      <c r="G41" s="2" t="inlineStr">
        <is>
          <t>Tháng</t>
        </is>
      </c>
      <c r="H41" s="2" t="inlineStr">
        <is>
          <t>Front margin cửa sổ đêm trừ chi phí tăng thêm để mở đêm (lương ca đêm + điện phụ trội), theo cửa hàng × tháng, đọc trên cửa sổ 3 tháng liền. Âm 3 tháng liền là tín hiệu xét rút giờ (mẫu luật Hàn Quốc).</t>
        </is>
      </c>
      <c r="I41" s="2" t="inlineStr">
        <is>
          <t>CD-02 trừ chi phí ca đêm của tháng. Minh họa: front margin đêm 5,9 tr đ, lương ca đêm + điện phụ trội 9 tr đ ⇒ −3,1 tr đ; âm 3 tháng liền ⇒ đưa cửa hàng vào danh sách xét rút giờ.</t>
        </is>
      </c>
      <c r="J41" s="2" t="inlineStr">
        <is>
          <t>Ops + Finance — giữ 24h, chuyển sang không người trực (hybrid) hay đóng đêm ở cửa hàng nào.</t>
        </is>
      </c>
      <c r="K41" s="2" t="inlineStr">
        <is>
          <t>Càng cao càng tốt</t>
        </is>
      </c>
      <c r="L41" s="2" t="inlineStr"/>
      <c r="M41" s="2" t="inlineStr"/>
      <c r="N41" s="2" t="inlineStr"/>
      <c r="O41" s="2" t="inlineStr">
        <is>
          <t>Chưa có dữ liệu — cần anh/chị cung cấp · Chờ Finance cung cấp chi phí ca đêm</t>
        </is>
      </c>
      <c r="P41" s="3" t="inlineStr"/>
      <c r="Q41" s="3" t="inlineStr"/>
      <c r="R41" s="3" t="inlineStr"/>
    </row>
    <row r="42">
      <c r="A42" s="2" t="inlineStr">
        <is>
          <t>MR-01</t>
        </is>
      </c>
      <c r="B42" s="2" t="inlineStr">
        <is>
          <t>Đánh giá mô hình &amp; Ramp-up</t>
        </is>
      </c>
      <c r="C42" s="2" t="inlineStr">
        <is>
          <t>Sales Per Day theo tuần tuổi</t>
        </is>
      </c>
      <c r="D42" s="2" t="inlineStr">
        <is>
          <t>Sales Per Day by Store Age Week</t>
        </is>
      </c>
      <c r="E42" s="2" t="inlineStr">
        <is>
          <t>OPS · DETAIL</t>
        </is>
      </c>
      <c r="F42" s="2" t="inlineStr">
        <is>
          <t>BOD, Finance, OPS</t>
        </is>
      </c>
      <c r="G42" s="2" t="inlineStr">
        <is>
          <t>Ngày</t>
        </is>
      </c>
      <c r="H42" s="2" t="inlineStr">
        <is>
          <t>Sales Per Day của từng cửa hàng ở tuần tuổi thứ n, đặt cạnh các cửa hàng pilot khác cùng tuần tuổi và trung bình 3 model. Là số trả lời sớm nhất câu hỏi số 1 của BLĐ trong pilot (pilot có ổn không, model nào nhân rộng) — P&amp;L sớm nhất cuối 11/2026.</t>
        </is>
      </c>
      <c r="I42" s="2" t="inlineStr">
        <is>
          <t>Doanh thu tuần tuổi n chia số ngày hoạt động của tuần đó, so với các cửa hàng cùng tuần tuổi. Minh họa: tuần tuổi 3, cửa hàng Standard đạt 16 tr đ / ngày, TB 9 cửa hàng ở tuần tuổi 3 là 18 tr đ, TB Standard 17 tr đ ⇒ thấp hơn pilot 11%, thấp hơn model 6%.</t>
        </is>
      </c>
      <c r="J42" s="2" t="inlineStr">
        <is>
          <t>BLĐ + Ops — model nào đang ramp tốt / chậm; cửa hàng nào chậm hơn các cửa hàng cùng tuổi cần can thiệp sớm, từ tuần đầu khai trương.</t>
        </is>
      </c>
      <c r="K42" s="2" t="inlineStr">
        <is>
          <t>Càng cao càng tốt</t>
        </is>
      </c>
      <c r="L42" s="2" t="inlineStr">
        <is>
          <t>Kênh kế hoạch: So với 4 mốc kế hoạch E / HE / O / O+ do Finance cấp.</t>
        </is>
      </c>
      <c r="M42" s="2" t="inlineStr">
        <is>
          <t>Kênh kế hoạch: Màu theo 4 mốc: tới E đỏ · tới HE cam · tới O xanh lá · tới O+ xanh lam · vượt O+ tím. v1 chưa xin target ⇒ ⚪ no plan (đề xuất)</t>
        </is>
      </c>
      <c r="N42" s="2" t="inlineStr"/>
      <c r="O42" s="2" t="inlineStr">
        <is>
          <t>Có dữ liệu — có số khi cửa hàng bắt đầu bán · Chờ đưa dữ liệu CVS vào hệ thống báo cáo (đang làm, trước ngày khai trương)</t>
        </is>
      </c>
      <c r="P42" s="3" t="inlineStr"/>
      <c r="Q42" s="3" t="inlineStr"/>
      <c r="R42" s="3" t="inlineStr"/>
    </row>
    <row r="43">
      <c r="A43" s="2" t="inlineStr">
        <is>
          <t>MR-02</t>
        </is>
      </c>
      <c r="B43" s="2" t="inlineStr">
        <is>
          <t>Đánh giá mô hình &amp; Ramp-up</t>
        </is>
      </c>
      <c r="C43" s="2" t="inlineStr">
        <is>
          <t>EBIT Store theo tháng tuổi so với đường ramp</t>
        </is>
      </c>
      <c r="D43" s="2" t="inlineStr">
        <is>
          <t>EBIT Store vs Ramp</t>
        </is>
      </c>
      <c r="E43" s="2" t="inlineStr">
        <is>
          <t>Để sau</t>
        </is>
      </c>
      <c r="F43" s="2" t="inlineStr">
        <is>
          <t>BOD, Finance</t>
        </is>
      </c>
      <c r="G43" s="2" t="inlineStr">
        <is>
          <t>Tháng</t>
        </is>
      </c>
      <c r="H43" s="2" t="inlineStr">
        <is>
          <t>EBIT Store (% doanh thu) của từng cửa hàng ở tháng tuổi thứ n, so với mức đường ramp đặt cho model ở tháng n. Trả lời câu đầu tiên của pilot — model nào đáng nhân rộng.</t>
        </is>
      </c>
      <c r="I43" s="2" t="inlineStr">
        <is>
          <t>EBIT Store % doanh thu tháng tuổi n trừ mức ramp của model tháng n. Minh họa: Mini tháng tuổi 3 đạt −4%, đường ramp đặt −6% ⇒ tốt hơn đường ramp 2 điểm % (biên −4% so với kỳ vọng −6%).</t>
        </is>
      </c>
      <c r="J43" s="2" t="inlineStr">
        <is>
          <t>BLĐ + Finance — nhân rộng model nào, sửa / đóng cửa hàng nào lỗ sâu hơn đường ramp của tuổi nó.</t>
        </is>
      </c>
      <c r="K43" s="2" t="inlineStr">
        <is>
          <t>Càng cao càng tốt</t>
        </is>
      </c>
      <c r="L43" s="2" t="inlineStr"/>
      <c r="M43" s="2" t="inlineStr"/>
      <c r="N43" s="2" t="inlineStr"/>
      <c r="O43" s="2" t="inlineStr">
        <is>
          <t>Cần đủ lịch sử mới có số · Chờ Finance dựng P&amp;L cho chuỗi CVS · Chờ Finance và BLĐ đặt kỳ vọng EBIT Store cho cửa hàng mới</t>
        </is>
      </c>
      <c r="P43" s="3" t="inlineStr"/>
      <c r="Q43" s="3" t="inlineStr"/>
      <c r="R43" s="3" t="inlineStr"/>
    </row>
    <row r="44">
      <c r="A44" s="2" t="inlineStr">
        <is>
          <t>MR-03</t>
        </is>
      </c>
      <c r="B44" s="2" t="inlineStr">
        <is>
          <t>Đánh giá mô hình &amp; Ramp-up</t>
        </is>
      </c>
      <c r="C44" s="2" t="inlineStr">
        <is>
          <t>Doanh thu / m² / ngày</t>
        </is>
      </c>
      <c r="D44" s="2" t="inlineStr">
        <is>
          <t>Sales Per Day per m²</t>
        </is>
      </c>
      <c r="E44" s="2" t="inlineStr">
        <is>
          <t>DETAIL</t>
        </is>
      </c>
      <c r="F44" s="2" t="inlineStr">
        <is>
          <t>BOD, Finance</t>
        </is>
      </c>
      <c r="G44" s="2" t="inlineStr">
        <is>
          <t>Tháng</t>
        </is>
      </c>
      <c r="H44" s="2" t="inlineStr">
        <is>
          <t>Sales Per Day chia diện tích kinh doanh. So 3 model trên cùng nền diện tích — Flagship có Sales Per Day cao hơn chưa chắc đã hiệu quả hơn Mini trên mỗi m².</t>
        </is>
      </c>
      <c r="I44" s="2" t="inlineStr">
        <is>
          <t>Doanh thu tháng chia (số ngày hoạt động × diện tích kinh doanh bình quân của chính tháng đó, theo P&amp;L). Có số khi P&amp;L tháng đóng sổ. Minh họa: Flagship Sales Per Day 30 tr đ / 130 m² ≈ 231.000 đ / m² / ngày; Mini 15 tr đ / 50 m² = 300.000 đ ⇒ Mini hiệu quả diện tích hơn.</t>
        </is>
      </c>
      <c r="J44" s="2" t="inlineStr">
        <is>
          <t>BLĐ + Expansion — chọn diện tích / model cho cửa hàng mở tiếp.</t>
        </is>
      </c>
      <c r="K44" s="2" t="inlineStr">
        <is>
          <t>Càng cao càng tốt</t>
        </is>
      </c>
      <c r="L44" s="2" t="inlineStr"/>
      <c r="M44" s="2" t="inlineStr"/>
      <c r="N44" s="2" t="inlineStr"/>
      <c r="O44" s="2" t="inlineStr">
        <is>
          <t>Cần đủ lịch sử mới có số · Chờ đưa dữ liệu CVS vào hệ thống báo cáo (đang làm, trước ngày khai trương) · Chờ Finance dựng P&amp;L cho chuỗi CVS · Có số sau khi P&amp;L tháng đóng sổ (trễ khoảng 1 tháng) · Chờ nền tảng báo cáo mới lấy được diện tích kinh doanh từ P&amp;L</t>
        </is>
      </c>
      <c r="P44" s="3" t="inlineStr"/>
      <c r="Q44" s="3" t="inlineStr"/>
      <c r="R44" s="3" t="inlineStr"/>
    </row>
    <row r="45">
      <c r="A45" s="2" t="inlineStr">
        <is>
          <t>MR-04</t>
        </is>
      </c>
      <c r="B45" s="2" t="inlineStr">
        <is>
          <t>Đánh giá mô hình &amp; Ramp-up</t>
        </is>
      </c>
      <c r="C45" s="2" t="inlineStr">
        <is>
          <t>Tháng tuổi đạt EBITDA Store dương</t>
        </is>
      </c>
      <c r="D45" s="2" t="inlineStr">
        <is>
          <t>Months to EBITDA Break-even</t>
        </is>
      </c>
      <c r="E45" s="2" t="inlineStr">
        <is>
          <t>Để sau</t>
        </is>
      </c>
      <c r="F45" s="2" t="inlineStr">
        <is>
          <t>BOD, Finance</t>
        </is>
      </c>
      <c r="G45" s="2" t="inlineStr">
        <is>
          <t>Tháng</t>
        </is>
      </c>
      <c r="H45" s="2" t="inlineStr">
        <is>
          <t>Store đạt EBITDA Store dương (lũy kế 3 tháng) ở tháng tuổi thứ mấy. Một số / cửa hàng, so được giữa 3 model và với kế hoạch đầu tư.</t>
        </is>
      </c>
      <c r="I45" s="2" t="inlineStr">
        <is>
          <t>Tháng tuổi đầu tiên mà tổng EBITDA Store của 3 tháng gần nhất dương. Minh họa: cửa hàng Standard có tổng 3 tháng dương lần đầu ở tháng tuổi 5 ⇒ 5; ba trạng thái: 'chưa đạt — đang ở tháng 7' · 'tạm đạt' (tháng này dương nhưng tổng 3 tháng chưa dương) · 'đạt ở tháng 5'.</t>
        </is>
      </c>
      <c r="J45" s="2" t="inlineStr">
        <is>
          <t>BLĐ + Finance — model nào hoàn vốn vận hành nhanh, đáng nhân rộng; cửa hàng nào quá hạn so với kế hoạch.</t>
        </is>
      </c>
      <c r="K45" s="2" t="inlineStr">
        <is>
          <t>Càng thấp càng tốt</t>
        </is>
      </c>
      <c r="L45" s="2" t="inlineStr">
        <is>
          <t>Kênh kế hoạch: So với 4 mốc kế hoạch E / HE / O / O+ do Finance cấp.</t>
        </is>
      </c>
      <c r="M45" s="2" t="inlineStr">
        <is>
          <t>Kênh kế hoạch: Màu theo 4 mốc: tới E đỏ · tới HE cam · tới O xanh lá · tới O+ xanh lam · vượt O+ tím (càng thấp càng tốt nên đọc ngược: từ E trở lên là đỏ). v1 chưa xin target ⇒ ⚪ no plan (đề xuất)</t>
        </is>
      </c>
      <c r="N45" s="2" t="inlineStr"/>
      <c r="O45" s="2" t="inlineStr">
        <is>
          <t>Cần đủ lịch sử mới có số · Chờ Finance dựng P&amp;L cho chuỗi CVS</t>
        </is>
      </c>
      <c r="P45" s="3" t="inlineStr"/>
      <c r="Q45" s="3" t="inlineStr"/>
      <c r="R45" s="3" t="inlineStr"/>
    </row>
    <row r="46">
      <c r="A46" s="2" t="inlineStr">
        <is>
          <t>MR-05</t>
        </is>
      </c>
      <c r="B46" s="2" t="inlineStr">
        <is>
          <t>Đánh giá mô hình &amp; Ramp-up</t>
        </is>
      </c>
      <c r="C46" s="2" t="inlineStr">
        <is>
          <t>Tăng trưởng doanh thu cùng kỳ của cửa hàng đủ tuổi</t>
        </is>
      </c>
      <c r="D46" s="2" t="inlineStr">
        <is>
          <t>Comparable Store Growth %</t>
        </is>
      </c>
      <c r="E46" s="2" t="inlineStr">
        <is>
          <t>Để sau</t>
        </is>
      </c>
      <c r="F46" s="2" t="inlineStr">
        <is>
          <t>BOD, Finance</t>
        </is>
      </c>
      <c r="G46" s="2" t="inlineStr">
        <is>
          <t>Tháng</t>
        </is>
      </c>
      <c r="H46" s="2" t="inlineStr">
        <is>
          <t>Doanh thu của nhóm cửa hàng đã mở đủ tuổi so với cùng kỳ năm trước — tăng trưởng "thật", không lẫn hiệu ứng mở mới. Với CVS chỉ có nghĩa khi cửa hàng mở ≥ 13 tháng.</t>
        </is>
      </c>
      <c r="I46" s="2" t="inlineStr">
        <is>
          <t>Doanh thu kỳ này của cửa hàng đủ điều kiện chia doanh thu cùng kỳ năm trước của chính các cửa hàng đó, trừ 1. Minh họa: 8 cửa hàng đủ tuổi, tháng này 4,4 tỷ đ, cùng kỳ năm trước 4,0 tỷ đ ⇒ +10%.</t>
        </is>
      </c>
      <c r="J46" s="2" t="inlineStr">
        <is>
          <t>BLĐ + Finance — chuỗi CVS đã trưởng thành đang tăng hay giảm thật, tách khỏi tăng do mở thêm cửa hàng.</t>
        </is>
      </c>
      <c r="K46" s="2" t="inlineStr">
        <is>
          <t>Càng cao càng tốt</t>
        </is>
      </c>
      <c r="L46" s="2" t="inlineStr">
        <is>
          <t>Kênh kế hoạch: So với 4 mốc kế hoạch E / HE / O / O+ do Finance cấp.</t>
        </is>
      </c>
      <c r="M46" s="2" t="inlineStr">
        <is>
          <t>Kênh kế hoạch: Màu theo 4 mốc: tới E đỏ · tới HE cam · tới O xanh lá · tới O+ xanh lam · vượt O+ tím. v1 chưa xin target ⇒ ⚪ no plan (đề xuất)</t>
        </is>
      </c>
      <c r="N46" s="2" t="inlineStr"/>
      <c r="O46" s="2" t="inlineStr">
        <is>
          <t>Cần đủ lịch sử mới có số · Chờ đưa dữ liệu CVS vào hệ thống báo cáo (đang làm, trước ngày khai trương)</t>
        </is>
      </c>
      <c r="P46" s="3" t="inlineStr"/>
      <c r="Q46" s="3" t="inlineStr"/>
      <c r="R46" s="3" t="inlineStr"/>
    </row>
  </sheetData>
  <autoFilter ref="A1:R46"/>
  <dataValidations count="1">
    <dataValidation sqref="P2:P46" showDropDown="0" showInputMessage="0" showErrorMessage="0" allowBlank="1" type="list">
      <formula1>"Giữ,Sửa,Bỏ"</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0" customWidth="1" min="2" max="2"/>
    <col width="18" customWidth="1" min="3" max="3"/>
    <col width="50" customWidth="1" min="4" max="4"/>
    <col width="18" customWidth="1" min="5" max="5"/>
  </cols>
  <sheetData>
    <row r="1">
      <c r="A1" s="1" t="inlineStr">
        <is>
          <t>Người trả lời</t>
        </is>
      </c>
      <c r="B1" s="1" t="inlineStr">
        <is>
          <t>Câu hỏi</t>
        </is>
      </c>
      <c r="C1" s="1" t="inlineStr">
        <is>
          <t>Chỉ số liên quan</t>
        </is>
      </c>
      <c r="D1" s="1" t="inlineStr">
        <is>
          <t>Trả lời</t>
        </is>
      </c>
      <c r="E1" s="1" t="inlineStr">
        <is>
          <t>Người trả lời (tên)</t>
        </is>
      </c>
    </row>
    <row r="2">
      <c r="A2" s="2" t="inlineStr">
        <is>
          <t>BOD</t>
        </is>
      </c>
      <c r="B2" s="2" t="inlineStr">
        <is>
          <t>Màn hình BOD có cho anh/chị thấy ngay hôm qua chuỗi đang hụt ở đâu không. Bảy chỉ số đầu trang (Revenue, Sales Per Day, Bill Per Day, Bill Size, Margin after S&amp;L %, DR, DIO) đã đủ chưa, có chỉ số nào thừa hoặc thiếu (TQ-03, TQ-01, TG-01, TG-02, BS-02, HH-12, HH-13)</t>
        </is>
      </c>
      <c r="C2" s="2" t="inlineStr">
        <is>
          <t>BS-02, HH-12, HH-13, TG-01, TG-02, TQ-01, TQ-03</t>
        </is>
      </c>
      <c r="D2" s="3" t="inlineStr"/>
      <c r="E2" s="3" t="inlineStr"/>
    </row>
    <row r="3">
      <c r="A3" s="2" t="inlineStr">
        <is>
          <t>BOD</t>
        </is>
      </c>
      <c r="B3" s="2" t="inlineStr">
        <is>
          <t>Thẻ cảnh báo dưới bảy chỉ số và dòng "Suggested owner" có giúp giao việc cho Vận hành hay Ngành hàng không; thẻ nào gợi ý sai người</t>
        </is>
      </c>
      <c r="C3" s="2" t="inlineStr"/>
      <c r="D3" s="3" t="inlineStr"/>
      <c r="E3" s="3" t="inlineStr"/>
    </row>
    <row r="4">
      <c r="A4" s="2" t="inlineStr">
        <is>
          <t>BOD</t>
        </is>
      </c>
      <c r="B4" s="2" t="inlineStr">
        <is>
          <t>Một dòng EBIT Store của tháng trước đã đủ cho BOD chưa, hay cần thêm chỉ số lợi nhuận khác (PL-01)</t>
        </is>
      </c>
      <c r="C4" s="2" t="inlineStr">
        <is>
          <t>PL-01</t>
        </is>
      </c>
      <c r="D4" s="3" t="inlineStr"/>
      <c r="E4" s="3" t="inlineStr"/>
    </row>
    <row r="5">
      <c r="A5" s="2" t="inlineStr">
        <is>
          <t>OPS</t>
        </is>
      </c>
      <c r="B5" s="2" t="inlineStr">
        <is>
          <t>Đi từ đơn vị quản lý xuống cửa hàng rồi xuống ngành hàng có đúng cách anh/chị tìm cửa hàng có vấn đề không; thẻ cảnh báo có chỉ đúng nơi cần xử lý không</t>
        </is>
      </c>
      <c r="C5" s="2" t="inlineStr"/>
      <c r="D5" s="3" t="inlineStr"/>
      <c r="E5" s="3" t="inlineStr"/>
    </row>
    <row r="6">
      <c r="A6" s="2" t="inlineStr">
        <is>
          <t>OPS</t>
        </is>
      </c>
      <c r="B6" s="2" t="inlineStr">
        <is>
          <t>Có muốn đặt mục tiêu Operating Day Rate không. Chỉ cần một dòng chung cho mọi cửa hàng; cửa hàng nào khác mới điền riêng (TQ-04)</t>
        </is>
      </c>
      <c r="C6" s="2" t="inlineStr">
        <is>
          <t>TQ-04</t>
        </is>
      </c>
      <c r="D6" s="3" t="inlineStr"/>
      <c r="E6" s="3" t="inlineStr"/>
    </row>
    <row r="7">
      <c r="A7" s="2" t="inlineStr">
        <is>
          <t>OPS</t>
        </is>
      </c>
      <c r="B7" s="2" t="inlineStr">
        <is>
          <t>Có muốn đặt mục tiêu Promo Compliance cho cả chuỗi theo tháng không (KM-05)</t>
        </is>
      </c>
      <c r="C7" s="2" t="inlineStr">
        <is>
          <t>KM-05</t>
        </is>
      </c>
      <c r="D7" s="3" t="inlineStr"/>
      <c r="E7" s="3" t="inlineStr"/>
    </row>
    <row r="8">
      <c r="A8" s="2" t="inlineStr">
        <is>
          <t>OPS</t>
        </is>
      </c>
      <c r="B8" s="2" t="inlineStr">
        <is>
          <t>(báo cáo DETAIL) Khi hủy hàng cận date / hết date, cửa hàng đang chọn lý do "Hỏng" hay "Hủy hàng cận/hết date". Hiện lý do "Hỏng" nhiều gấp ~13 lần, nghi đang ghi nhầm (BS-03)</t>
        </is>
      </c>
      <c r="C8" s="2" t="inlineStr">
        <is>
          <t>BS-03</t>
        </is>
      </c>
      <c r="D8" s="3" t="inlineStr"/>
      <c r="E8" s="3" t="inlineStr"/>
    </row>
    <row r="9">
      <c r="A9" s="2" t="inlineStr">
        <is>
          <t>CMC</t>
        </is>
      </c>
      <c r="B9" s="2" t="inlineStr">
        <is>
          <t>Đi từ ngành lớn xuống ngành nhỏ, xem giỏ hàng theo ngành và khuyến mãi theo ngành có đúng cách anh/chị tìm ngành có vấn đề không; nút "Open in CMC" trên thẻ cảnh báo có mở đúng chỗ không</t>
        </is>
      </c>
      <c r="C9" s="2" t="inlineStr"/>
      <c r="D9" s="3" t="inlineStr"/>
      <c r="E9" s="3" t="inlineStr"/>
    </row>
    <row r="10">
      <c r="A10" s="2" t="inlineStr">
        <is>
          <t>CMC</t>
        </is>
      </c>
      <c r="B10" s="2" t="inlineStr">
        <is>
          <t>Điền mục tiêu ngành theo loại cửa hàng ở sheet "Category × cửa hàng type" của file target mẫu: Sales Per Day của một cửa hàng theo mô hình (Flagship / Standard / Mini) × ngành lớn × tháng, 4 mốc E / HE / O / O+. Có điền được không, ai trong team điền (TQ-01)</t>
        </is>
      </c>
      <c r="C10" s="2" t="inlineStr">
        <is>
          <t>TQ-01</t>
        </is>
      </c>
      <c r="D10" s="3" t="inlineStr"/>
      <c r="E10" s="3" t="inlineStr"/>
    </row>
    <row r="11">
      <c r="A11" s="2" t="inlineStr">
        <is>
          <t>CMC</t>
        </is>
      </c>
      <c r="B11" s="2" t="inlineStr">
        <is>
          <t>Có muốn đặt mục tiêu DIO riêng cho từng ngành lớn (cả chuỗi, theo tháng) và mục tiêu UPT theo cửa hàng không. Hai cột này không bắt buộc; để trống thì báo cáo chỉ hiện số, không tô màu (HH-13, TG-03)</t>
        </is>
      </c>
      <c r="C11" s="2" t="inlineStr">
        <is>
          <t>HH-13, TG-03</t>
        </is>
      </c>
      <c r="D11" s="3" t="inlineStr"/>
      <c r="E11" s="3" t="inlineStr"/>
    </row>
    <row r="12">
      <c r="A12" s="2" t="inlineStr">
        <is>
          <t>CMC</t>
        </is>
      </c>
      <c r="B12" s="2" t="inlineStr">
        <is>
          <t>Danh mục hàng CVS có được chia nhóm hàng chủ lực (CORE1 / CORE2 / CORE3) trước khai trương không. DIO chỉ tính trên nhóm này; cửa hàng chưa chia nhóm sẽ hiện "unclassified range" thay cho số (HH-13)</t>
        </is>
      </c>
      <c r="C12" s="2" t="inlineStr">
        <is>
          <t>HH-13</t>
        </is>
      </c>
      <c r="D12" s="3" t="inlineStr"/>
      <c r="E12" s="3" t="inlineStr"/>
    </row>
    <row r="13">
      <c r="A13" s="2" t="inlineStr">
        <is>
          <t>CMC</t>
        </is>
      </c>
      <c r="B13" s="2" t="inlineStr">
        <is>
          <t>"Ngành hàng key" của CVS mà BOD / OPS / CMC cần theo dõi DR và DIO hằng ngày là những ngành nào (cấp MCH2 hay MCH3). Mock đang hiện mọi ngành lớn; danh sách này quyết định ngành nào lên đầu bảng và vào thẻ cảnh báo (HH-12, HH-13)</t>
        </is>
      </c>
      <c r="C13" s="2" t="inlineStr">
        <is>
          <t>HH-12, HH-13</t>
        </is>
      </c>
      <c r="D13" s="3" t="inlineStr"/>
      <c r="E13" s="3" t="inlineStr"/>
    </row>
    <row r="14">
      <c r="A14" s="2" t="inlineStr">
        <is>
          <t>CMC</t>
        </is>
      </c>
      <c r="B14" s="2" t="inlineStr">
        <is>
          <t>CVS có bán hàng ký gửi không</t>
        </is>
      </c>
      <c r="C14" s="2" t="inlineStr"/>
      <c r="D14" s="3" t="inlineStr"/>
      <c r="E14" s="3" t="inlineStr"/>
    </row>
    <row r="15">
      <c r="A15" s="2" t="inlineStr">
        <is>
          <t>CMC</t>
        </is>
      </c>
      <c r="B15" s="2" t="inlineStr">
        <is>
          <t>CVS có quầy đồ ăn chế biến / fast food không; nhóm hàng nào được tính là đồ ăn nhanh</t>
        </is>
      </c>
      <c r="C15" s="2" t="inlineStr"/>
      <c r="D15" s="3" t="inlineStr"/>
      <c r="E15" s="3" t="inlineStr"/>
    </row>
    <row r="16">
      <c r="A16" s="2" t="inlineStr">
        <is>
          <t>Finance</t>
        </is>
      </c>
      <c r="B16" s="2" t="inlineStr">
        <is>
          <t>Điền sheet "Store × month" của file target mẫu: 4 mốc E / HE / O / O+ cho Revenue, Bill Per Day, Margin after S&amp;L % theo từng cửa hàng × tháng, kèm số ngày hoạt động theo kế hoạch. Sales Per Day và Bill Size file tự tính, không cần điền (TQ-03, TG-01, BS-02)</t>
        </is>
      </c>
      <c r="C16" s="2" t="inlineStr">
        <is>
          <t>BS-02, TG-01, TQ-03</t>
        </is>
      </c>
      <c r="D16" s="3" t="inlineStr"/>
      <c r="E16" s="3" t="inlineStr"/>
    </row>
    <row r="17">
      <c r="A17" s="2" t="inlineStr">
        <is>
          <t>Finance</t>
        </is>
      </c>
      <c r="B17" s="2" t="inlineStr">
        <is>
          <t>DR và DIO chỉ cần một dòng cho cả chuỗi, hoặc một dòng cho từng mô hình. Có cần đặt riêng cho từng cửa hàng không (HH-12, HH-13)</t>
        </is>
      </c>
      <c r="C17" s="2" t="inlineStr">
        <is>
          <t>HH-12, HH-13</t>
        </is>
      </c>
      <c r="D17" s="3" t="inlineStr"/>
      <c r="E17" s="3" t="inlineStr"/>
    </row>
    <row r="18">
      <c r="A18" s="2" t="inlineStr">
        <is>
          <t>Finance</t>
        </is>
      </c>
      <c r="B18" s="2" t="inlineStr">
        <is>
          <t>Ai duyệt file target trước khi gửi DA. Khi điều chỉnh kế hoạch giữa kỳ thì gửi lại cả file như một bản mới; ai là người gửi</t>
        </is>
      </c>
      <c r="C18" s="2" t="inlineStr"/>
      <c r="D18" s="3" t="inlineStr"/>
      <c r="E18" s="3" t="inlineStr"/>
    </row>
    <row r="19">
      <c r="A19" s="2" t="inlineStr">
        <is>
          <t>Finance</t>
        </is>
      </c>
      <c r="B19" s="2" t="inlineStr">
        <is>
          <t>(báo cáo DETAIL) Những khoản chi phí phân bổ nào được tính vào P&amp;L cửa hàng CVS, và chia theo tiêu chí gì (PL-04)</t>
        </is>
      </c>
      <c r="C19" s="2" t="inlineStr">
        <is>
          <t>PL-04</t>
        </is>
      </c>
      <c r="D19" s="3" t="inlineStr"/>
      <c r="E19" s="3" t="inlineStr"/>
    </row>
    <row r="20">
      <c r="A20" s="2" t="inlineStr">
        <is>
          <t>Finance</t>
        </is>
      </c>
      <c r="B20" s="2" t="inlineStr">
        <is>
          <t>(báo cáo DETAIL) Trên báo cáo Shrinkage &amp; Loss hiện tại, các chỉ số biên trước hao hụt, tỷ lệ hao hụt, tỷ lệ mất mát và chi phí khuyến mãi đang hiển thị với tên gì, để bộ chỉ số CVS dùng đúng tên anh/chị đã quen (BS-01, BS-03, BS-04, KM-04)</t>
        </is>
      </c>
      <c r="C20" s="2" t="inlineStr">
        <is>
          <t>BS-01, BS-03, BS-04, KM-04</t>
        </is>
      </c>
      <c r="D20" s="3" t="inlineStr"/>
      <c r="E20" s="3" t="inlineStr"/>
    </row>
    <row r="21">
      <c r="A21" s="2" t="inlineStr">
        <is>
          <t>Mọi nhóm</t>
        </is>
      </c>
      <c r="B21" s="2" t="inlineStr">
        <is>
          <t>Thử chọn bộ lọc rồi xuất file. File Excel có dùng được ngay không, còn thiếu cột hoặc bộ lọc nào</t>
        </is>
      </c>
      <c r="C21" s="2" t="inlineStr"/>
      <c r="D21" s="3" t="inlineStr"/>
      <c r="E21" s="3" t="inlineStr"/>
    </row>
    <row r="22">
      <c r="A22" s="2" t="inlineStr">
        <is>
          <t>Team CVS / phát triển mặt bằng</t>
        </is>
      </c>
      <c r="B22" s="2" t="inlineStr">
        <is>
          <t>cửa hàng có được phân loại theo vị trí (gần văn phòng, khu dân cư, trường học, bến xe…) không</t>
        </is>
      </c>
      <c r="C22" s="2" t="inlineStr"/>
      <c r="D22" s="3" t="inlineStr"/>
      <c r="E22" s="3" t="inlineStr"/>
    </row>
    <row r="23">
      <c r="A23" s="2" t="inlineStr">
        <is>
          <t>Team CVS / phát triển mặt bằng</t>
        </is>
      </c>
      <c r="B23" s="2" t="inlineStr">
        <is>
          <t>diện tích kinh doanh của cửa hàng A010 ghi trong P&amp;L hàng tháng là 153 m² hay 185 m² (đang thấy hai số) — báo cáo lấy diện tích theo tháng từ P&amp;L (MR-03, sửa T28)</t>
        </is>
      </c>
      <c r="C23" s="2" t="inlineStr">
        <is>
          <t>MR-03</t>
        </is>
      </c>
      <c r="D23" s="3" t="inlineStr"/>
      <c r="E23" s="3" t="inlineStr"/>
    </row>
    <row r="24">
      <c r="A24" s="2" t="inlineStr">
        <is>
          <t>Team CVS</t>
        </is>
      </c>
      <c r="B24" s="2" t="inlineStr">
        <is>
          <t>Danh sách cửa hàng pilot: hệ thống mới có 9 cửa hàng A010–A018; cửa hàng A019 có trong đợt pilot không, khi nào có mã. Xác nhận ngày khai trương từng cửa hàng (hệ thống đang ghi: A013 và A018 ngày 26/10, A014 ngày 08/11, các cửa hàng còn lại 20/10)</t>
        </is>
      </c>
      <c r="C24" s="2" t="inlineStr"/>
      <c r="D24" s="3" t="inlineStr"/>
      <c r="E24" s="3" t="inlineStr"/>
    </row>
    <row r="25">
      <c r="A25" s="2" t="inlineStr">
        <is>
          <t>Team CVS</t>
        </is>
      </c>
      <c r="B25" s="2" t="inlineStr">
        <is>
          <t>Người phụ trách của từng cửa hàng (cửa hàng trưởng, QLKV, GĐV, GĐM) hiện chưa có trong hệ thống. Khi nào được cập nhật — báo cáo Vận hành xem theo người phụ trách cần thông tin này</t>
        </is>
      </c>
      <c r="C25" s="2" t="inlineStr"/>
      <c r="D25" s="3" t="inlineStr"/>
      <c r="E25" s="3" t="inlineStr"/>
    </row>
    <row r="26">
      <c r="A26" s="2" t="inlineStr">
        <is>
          <t>Cung ứng</t>
        </is>
      </c>
      <c r="B26" s="2" t="inlineStr">
        <is>
          <t>khi tính tỷ lệ giao đủ hàng, đơn đặt hàng nào phải loại ra (đơn hủy, đơn chưa tới ngày giao) và nhận biết bằng trạng thái nào (HH-04)</t>
        </is>
      </c>
      <c r="C26" s="2" t="inlineStr">
        <is>
          <t>HH-04</t>
        </is>
      </c>
      <c r="D26" s="3" t="inlineStr"/>
      <c r="E26" s="3" t="inlineStr"/>
    </row>
  </sheetData>
  <autoFilter ref="A1:E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70" customWidth="1" min="3" max="3"/>
  </cols>
  <sheetData>
    <row r="1">
      <c r="A1" s="1" t="inlineStr">
        <is>
          <t>Tên trên báo cáo</t>
        </is>
      </c>
      <c r="B1" s="1" t="inlineStr">
        <is>
          <t>Nghĩa</t>
        </is>
      </c>
      <c r="C1" s="1" t="inlineStr">
        <is>
          <t>Lưu ý</t>
        </is>
      </c>
    </row>
    <row r="2">
      <c r="A2" s="2" t="inlineStr">
        <is>
          <t>Sales Per Day</t>
        </is>
      </c>
      <c r="B2" s="2" t="inlineStr">
        <is>
          <t>Doanh thu bình quân của một cửa hàng trong một ngày có bán.</t>
        </is>
      </c>
      <c r="C2" s="2">
        <f> Revenue ÷ Operating Day — cùng cách tính với báo cáo Sales MCH5 hiện có.</f>
        <v/>
      </c>
    </row>
    <row r="3">
      <c r="A3" s="2" t="inlineStr">
        <is>
          <t>Bill Per Day · Bill Size</t>
        </is>
      </c>
      <c r="B3" s="2" t="inlineStr">
        <is>
          <t>Số bill bình quân một cửa hàng một ngày, và giá trị bình quân một bill.</t>
        </is>
      </c>
      <c r="C3" s="2" t="inlineStr">
        <is>
          <t>Sales Per Day = Bill Per Day × Bill Size: doanh thu giảm thì xem giảm vì ít khách hay vì giỏ nhỏ.</t>
        </is>
      </c>
    </row>
    <row r="4">
      <c r="A4" s="2" t="inlineStr">
        <is>
          <t>Operating Day</t>
        </is>
      </c>
      <c r="B4" s="2" t="inlineStr">
        <is>
          <t>Một cửa hàng trong một ngày có phát sinh bán.</t>
        </is>
      </c>
      <c r="C4" s="2" t="inlineStr">
        <is>
          <t>CVS mở 24/7 nên kỳ vọng ngày nào cũng là ngày hoạt động.</t>
        </is>
      </c>
    </row>
    <row r="5">
      <c r="A5" s="2" t="inlineStr">
        <is>
          <t>điểm %</t>
        </is>
      </c>
      <c r="B5" s="2" t="inlineStr">
        <is>
          <t>Mức chênh giữa hai tỷ lệ, tính bằng phép trừ: biên 30% xuống 28% là giảm 2 điểm %.</t>
        </is>
      </c>
      <c r="C5" s="2" t="inlineStr">
        <is>
          <t>Không phải giảm 2% (giảm 2% của 30% chỉ còn 29,4%). Chỉ gặp ở phần ngưỡng; trên báo cáo, chỉ số tỷ lệ hiện thẳng hai mức để so.</t>
        </is>
      </c>
    </row>
    <row r="6">
      <c r="A6" s="2" t="inlineStr">
        <is>
          <t>OK · Watch · Action</t>
        </is>
      </c>
      <c r="B6" s="2" t="inlineStr">
        <is>
          <t>*(Ngưng ở báo cáo v1, 2026-10-05 — thay bằng bốn mốc E · HE · O · O+.)* Ba mức tín hiệu: bình thường, cần theo dõi, cần xử lý.</t>
        </is>
      </c>
      <c r="C6" s="2" t="inlineStr">
        <is>
          <t>Action chỉ bật khi lệch kéo dài (từ 3 trong 7 ngày gần nhất), một ngày lệch đơn lẻ chỉ là Watch.</t>
        </is>
      </c>
    </row>
    <row r="7">
      <c r="A7" s="2" t="inlineStr">
        <is>
          <t>Chưa đủ dữ liệu</t>
        </is>
      </c>
      <c r="B7" s="2" t="inlineStr">
        <is>
          <t>Ô chưa tô màu vì quá ít bill hoặc chưa có mốc để so.</t>
        </is>
      </c>
      <c r="C7" s="2" t="inlineStr">
        <is>
          <t>Vẫn hiện số. Thường gặp ở cửa hàng mới mở hoặc chỉ số cần nhiều tháng lịch sử.</t>
        </is>
      </c>
    </row>
    <row r="8">
      <c r="A8" s="2" t="inlineStr">
        <is>
          <t>vs Mini stores</t>
        </is>
      </c>
      <c r="B8" s="2" t="inlineStr">
        <is>
          <t>So với các cửa hàng cùng mô hình (ở đây là Mini), không tính chính cửa hàng đang xem.</t>
        </is>
      </c>
      <c r="C8" s="2" t="inlineStr">
        <is>
          <t>Mốc là mức giữa của nhóm, nên một cửa hàng quá tốt hoặc quá kém không kéo lệch mốc. Với chỉ số là tỷ lệ, nhãn ghi thẳng tỷ lệ của nhóm, vd 11.2% · Mini stores 5.6%.</t>
        </is>
      </c>
    </row>
    <row r="9">
      <c r="A9" s="2" t="inlineStr">
        <is>
          <t>vs Tue avg (2w)</t>
        </is>
      </c>
      <c r="B9" s="2" t="inlineStr">
        <is>
          <t>So với trung bình cùng thứ (ở đây là thứ Ba) của các tuần trước.</t>
        </is>
      </c>
      <c r="C9" s="2" t="inlineStr">
        <is>
          <t>Số trong ngoặc là số tuần đang dùng, tối đa 4. Ngày lễ, Tết không dùng làm mốc.</t>
        </is>
      </c>
    </row>
    <row r="10">
      <c r="A10" s="2" t="inlineStr">
        <is>
          <t>vs Plan</t>
        </is>
      </c>
      <c r="B10" s="2" t="inlineStr">
        <is>
          <t>So với kế hoạch (mốc O), theo ngày, lũy kế tháng hoặc lũy kế năm.</t>
        </is>
      </c>
      <c r="C10" s="2" t="inlineStr">
        <is>
          <t>Kế hoạch tháng chia đều theo ngày. Từ 2026-10-05 mọi tầng đều so với kế hoạch.</t>
        </is>
      </c>
    </row>
    <row r="11">
      <c r="A11" s="2" t="inlineStr">
        <is>
          <t>Model</t>
        </is>
      </c>
      <c r="B11" s="2" t="inlineStr">
        <is>
          <t>Loại hình cửa hàng CVS: Flagship, Standard hoặc Mini.</t>
        </is>
      </c>
      <c r="C11" s="2" t="inlineStr">
        <is>
          <t>Cửa hàng chỉ so với cửa hàng cùng mô hình.</t>
        </is>
      </c>
    </row>
    <row r="12">
      <c r="A12" s="2" t="inlineStr">
        <is>
          <t>Tuổi cửa hàng (Week 3)</t>
        </is>
      </c>
      <c r="B12" s="2" t="inlineStr">
        <is>
          <t>Số tuần kể từ ngày khai trương chính thức.</t>
        </is>
      </c>
      <c r="C12" s="2" t="inlineStr">
        <is>
          <t>4 tuần đầu tín hiệu tối đa là Watch (cửa hàng mới, đang theo dõi). Ngày bán thử trước khai trương không tính.</t>
        </is>
      </c>
    </row>
    <row r="13">
      <c r="A13" s="2" t="inlineStr">
        <is>
          <t>Đường tăng trưởng kỳ vọng</t>
        </is>
      </c>
      <c r="B13" s="2" t="inlineStr">
        <is>
          <t>Mức doanh thu kỳ vọng của cửa hàng mới theo từng tuần tuổi.</t>
        </is>
      </c>
      <c r="C13" s="2" t="inlineStr">
        <is>
          <t>13 tuần đầu cửa hàng so với đường này, chưa so với cửa hàng đã ổn định.</t>
        </is>
      </c>
    </row>
    <row r="14">
      <c r="A14" s="2" t="inlineStr">
        <is>
          <t>Khung giờ (Daypart)</t>
        </is>
      </c>
      <c r="B14" s="2" t="inlineStr">
        <is>
          <t>Sáu khung giờ trong ngày để đọc khách và doanh thu theo giờ.</t>
        </is>
      </c>
      <c r="C14" s="2" t="inlineStr">
        <is>
          <t>Khung đêm là 0h–5h59.</t>
        </is>
      </c>
    </row>
    <row r="15">
      <c r="A15" s="2" t="inlineStr">
        <is>
          <t>S&amp;L</t>
        </is>
      </c>
      <c r="B15" s="2" t="inlineStr">
        <is>
          <t>Hàng hủy và hàng mất ghi nhận theo ngày ở cửa hàng.</t>
        </is>
      </c>
      <c r="C15" s="2" t="inlineStr">
        <is>
          <t>Gồm SHRINKAGE (hủy, hư hỏng, cận date) và LOSS (chênh lệch kiểm kê, mất cắp). Hủy do khai trương không tính vào tín hiệu.</t>
        </is>
      </c>
    </row>
    <row r="16">
      <c r="A16" s="2" t="inlineStr">
        <is>
          <t>Front Margin %</t>
        </is>
      </c>
      <c r="B16" s="2" t="inlineStr">
        <is>
          <t>Biên lãi trên giá bán, trước các khoản thu từ nhà cung cấp.</t>
        </is>
      </c>
      <c r="C16" s="2" t="inlineStr">
        <is>
          <t>Thấp hơn Gross Profit trong P&amp;L vì chưa có back margin — không so trực tiếp với biên của báo cáo P&amp;L.</t>
        </is>
      </c>
    </row>
    <row r="17">
      <c r="A17" s="2" t="inlineStr">
        <is>
          <t>Margin after S&amp;L %</t>
        </is>
      </c>
      <c r="B17" s="2" t="inlineStr">
        <is>
          <t>Biên lãi còn lại sau khi trừ hàng hủy và hàng mất.</t>
        </is>
      </c>
      <c r="C17" s="2">
        <f> Front Margin % − Shrinkage % − Loss %. Không phải Gross Profit của P&amp;L.</f>
        <v/>
      </c>
    </row>
    <row r="18">
      <c r="A18" s="2" t="inlineStr">
        <is>
          <t>SKU core</t>
        </is>
      </c>
      <c r="B18" s="2" t="inlineStr">
        <is>
          <t>*(Ngưng ở báo cáo v1, 2026-10-05 — hết hàng thay bằng DR và DIO.)* Mặt hàng CMC giao cho cửa hàng phải luôn có trên kệ.</t>
        </is>
      </c>
      <c r="C18" s="2" t="inlineStr">
        <is>
          <t>Hết hàng chỉ tính trên SKU đã từng về cửa hàng; SKU chưa từng về đo riêng ở Assortment Execution %.</t>
        </is>
      </c>
    </row>
    <row r="19">
      <c r="A19" s="2" t="inlineStr">
        <is>
          <t>Δ% P2W · Δ% SPLY</t>
        </is>
      </c>
      <c r="B19" s="2" t="inlineStr">
        <is>
          <t>Mức tăng doanh thu của chương trình khuyến mãi so với 2 tuần trước chương trình, hoặc so với cùng kỳ năm trước.</t>
        </is>
      </c>
      <c r="C19" s="2" t="inlineStr">
        <is>
          <t>Giống báo cáo Promotion Sales. Δ Front Margin P2W đọc cùng cách cho biên lãi. CVS chưa có SPLY cho tới khi cửa hàng mở đủ 13 tháng.</t>
        </is>
      </c>
    </row>
    <row r="20">
      <c r="A20" s="2" t="inlineStr">
        <is>
          <t>Comparable Store Growth %</t>
        </is>
      </c>
      <c r="B20" s="2" t="inlineStr">
        <is>
          <t>Tăng trưởng doanh thu so với cùng tháng năm trước của nhóm cửa hàng đã mở đủ lâu.</t>
        </is>
      </c>
      <c r="C20" s="2" t="inlineStr">
        <is>
          <t>Tương tự LFL, nhưng chỉ tính cửa hàng mở trọn tháng ở cả hai năm. Cửa hàng CVS sớm nhất có số từ 11/2027.</t>
        </is>
      </c>
    </row>
    <row r="21">
      <c r="A21" s="2" t="inlineStr">
        <is>
          <t>Break-even Attainment %</t>
        </is>
      </c>
      <c r="B21" s="2" t="inlineStr">
        <is>
          <t>Doanh thu mỗi ngày của cửa hàng đang đạt bao nhiêu phần trăm mức cần để hòa vốn.</t>
        </is>
      </c>
      <c r="C21" s="2">
        <f> Sales Per Day ÷ Sales Per Day hòa vốn. Từ 100% là đã hòa vốn EBITDA Store.</f>
        <v/>
      </c>
    </row>
    <row r="22">
      <c r="A22" s="2" t="inlineStr">
        <is>
          <t>Overlap</t>
        </is>
      </c>
      <c r="B22" s="2" t="inlineStr">
        <is>
          <t>Mặt hàng cùng lúc nằm trong từ hai chương trình khuyến mãi trở lên.</t>
        </is>
      </c>
      <c r="C22" s="2" t="inlineStr">
        <is>
          <t>Giống trang Overlap của báo cáo Promotion Sales.</t>
        </is>
      </c>
    </row>
    <row r="23">
      <c r="A23" s="2" t="inlineStr">
        <is>
          <t>Core 7</t>
        </is>
      </c>
      <c r="B23" s="2" t="inlineStr">
        <is>
          <t>Bảy chỉ số luôn đứng đầu mọi báo cáo: Revenue · Sales Per Day · Bill Per Day · Bill Size · Margin after S&amp;L % · DR · DIO.</t>
        </is>
      </c>
      <c r="C23" s="2" t="inlineStr">
        <is>
          <t>Báo cáo BOD, OPS và CMC dùng chung một bộ số: cùng ô thì cùng số.</t>
        </is>
      </c>
    </row>
    <row r="24">
      <c r="A24" s="2" t="inlineStr">
        <is>
          <t>BOD · OPS · CMC</t>
        </is>
      </c>
      <c r="B24" s="2" t="inlineStr">
        <is>
          <t>Ba báo cáo gửi mỗi sáng, lần lượt cho ban điều hành, vận hành và ngành hàng.</t>
        </is>
      </c>
      <c r="C24" s="2" t="inlineStr">
        <is>
          <t>Thêm báo cáo DETAIL đủ mọi chỉ số, chọn một phạm vi (một vùng, một ngành, một cửa hàng…) rồi mới xem hoặc tải về.</t>
        </is>
      </c>
    </row>
    <row r="25">
      <c r="A25" s="2" t="inlineStr">
        <is>
          <t>DR</t>
        </is>
      </c>
      <c r="B25" s="2" t="inlineStr">
        <is>
          <t>Tỷ lệ giao hàng đạt của các mặt hàng được theo dõi giao hàng (Delivery Rate).</t>
        </is>
      </c>
      <c r="C25" s="2" t="inlineStr">
        <is>
          <t>Cùng chỉ số DR chuỗi đang dùng. Ngành không có mặt hàng nào được theo dõi thì hiện n/a.</t>
        </is>
      </c>
    </row>
    <row r="26">
      <c r="A26" s="2" t="inlineStr">
        <is>
          <t>DIO</t>
        </is>
      </c>
      <c r="B26" s="2" t="inlineStr">
        <is>
          <t>Số ngày hàng tồn đủ bán, tính theo giá trị hàng chủ lực (Days of Inventory On-hand).</t>
        </is>
      </c>
      <c r="C26" s="2" t="inlineStr">
        <is>
          <t>Thấp hơn là tốt. Cửa hàng chưa phân lớp hàng chủ lực hiện unclassified range.</t>
        </is>
      </c>
    </row>
    <row r="27">
      <c r="A27" s="2" t="inlineStr">
        <is>
          <t>E · HE · O · O+</t>
        </is>
      </c>
      <c r="B27" s="2" t="inlineStr">
        <is>
          <t>Bốn mốc mục tiêu của mỗi chỉ số, từ thấp tới cao; O là kế hoạch.</t>
        </is>
      </c>
      <c r="C27" s="2" t="inlineStr">
        <is>
          <t>Màu: tới E đỏ, tới HE cam, tới O xanh lá, tới O+ xanh lam, vượt O+ tím. Bằng đúng mốc thì lấy màu thấp hơn. Với DIO thấp là tốt nên đọc ngược.</t>
        </is>
      </c>
    </row>
    <row r="28">
      <c r="A28" s="2" t="inlineStr">
        <is>
          <t>next O</t>
        </is>
      </c>
      <c r="B28" s="2" t="inlineStr">
        <is>
          <t>Mốc tiếp theo chỉ số cần vượt.</t>
        </is>
      </c>
      <c r="C28" s="2" t="inlineStr">
        <is>
          <t>Ô đỏ ghi next E, ô xanh lá ghi next O+… Ô tím đã vượt mọi mốc.</t>
        </is>
      </c>
    </row>
    <row r="29">
      <c r="A29" s="2" t="inlineStr">
        <is>
          <t>no plan</t>
        </is>
      </c>
      <c r="B29" s="2" t="inlineStr">
        <is>
          <t>Chưa có mục tiêu cho chỉ số, phạm vi hoặc tháng này.</t>
        </is>
      </c>
      <c r="C29" s="2" t="inlineStr">
        <is>
          <t>Vẫn hiện số, không tô màu. Ví dụ: số bill theo ngành hàng chưa có mục tiêu.</t>
        </is>
      </c>
    </row>
    <row r="30">
      <c r="A30" s="2" t="inlineStr">
        <is>
          <t>Suggested</t>
        </is>
      </c>
      <c r="B30" s="2" t="inlineStr">
        <is>
          <t>Gợi ý đơn vị đang kéo chỉ số xuống dưới E nhiều nhất.</t>
        </is>
      </c>
      <c r="C30" s="2" t="inlineStr">
        <is>
          <t>Chỉ là gợi ý để biết nên hỏi ai, không phải quy trách nhiệm.</t>
        </is>
      </c>
    </row>
    <row r="31">
      <c r="A31" s="2" t="inlineStr">
        <is>
          <t>Bill theo ngành hàng</t>
        </is>
      </c>
      <c r="B31" s="2" t="inlineStr">
        <is>
          <t>Số bill có ít nhất một món của ngành hàng đó.</t>
        </is>
      </c>
      <c r="C31" s="2" t="inlineStr">
        <is>
          <t>Giống báo cáo Sales MCH5. Một bill mua hai ngành được đếm ở cả hai, nên không cộng bill các ngành lại với nhau.</t>
        </is>
      </c>
    </row>
    <row r="32">
      <c r="A32" s="2" t="inlineStr">
        <is>
          <t>EBIT Store · EBITDA Store</t>
        </is>
      </c>
      <c r="B32" s="2" t="inlineStr">
        <is>
          <t>Lãi cấp cửa hàng, đúng tên dòng trong P&amp;L cửa hàng hiện có.</t>
        </is>
      </c>
      <c r="C32" s="2" t="inlineStr">
        <is>
          <t>EBIT Store = EBITDA Store − khấu hao cửa hàng. Vài tháng đầu âm là bình thường.</t>
        </is>
      </c>
    </row>
  </sheetData>
  <autoFilter ref="A1:C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2026-10-12T06:34:38Z</dcterms:created>
  <dcterms:modified xmlns:dcterms="http://purl.org/dc/terms/" xmlns:xsi="http://www.w3.org/2001/XMLSchema-instance" xsi:type="dcterms:W3CDTF">2026-10-12T06:34:38Z</dcterms:modified>
</cp:coreProperties>
</file>